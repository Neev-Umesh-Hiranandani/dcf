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iran\Downloads\"/>
    </mc:Choice>
  </mc:AlternateContent>
  <xr:revisionPtr revIDLastSave="0" documentId="13_ncr:1_{9DFDE693-BD39-4A7A-BF89-AB1F8B056D5E}" xr6:coauthVersionLast="47" xr6:coauthVersionMax="47" xr10:uidLastSave="{00000000-0000-0000-0000-000000000000}"/>
  <bookViews>
    <workbookView xWindow="-110" yWindow="-110" windowWidth="19420" windowHeight="10300" tabRatio="761" firstSheet="1" activeTab="2" xr2:uid="{00000000-000D-0000-FFFF-FFFF00000000}"/>
  </bookViews>
  <sheets>
    <sheet name="Cover Page" sheetId="1" r:id="rId1"/>
    <sheet name="1.Input --&gt;" sheetId="2" r:id="rId2"/>
    <sheet name="P&amp;L assumptions" sheetId="3" r:id="rId3"/>
    <sheet name="BS assumptions" sheetId="4" r:id="rId4"/>
    <sheet name="2.Output--&gt;" sheetId="5" r:id="rId5"/>
    <sheet name="P&amp;L" sheetId="6" r:id="rId6"/>
    <sheet name="BS" sheetId="7" r:id="rId7"/>
    <sheet name="Cash Flow" sheetId="8" r:id="rId8"/>
    <sheet name="DCF valuation" sheetId="9" r:id="rId9"/>
    <sheet name="WACC" sheetId="10" r:id="rId10"/>
    <sheet name="3.Sources --&gt;" sheetId="11" r:id="rId11"/>
    <sheet name="P&amp;L Source" sheetId="12" r:id="rId12"/>
    <sheet name="BS Source"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3" l="1"/>
  <c r="F41" i="13"/>
  <c r="E41" i="13"/>
  <c r="D41" i="13"/>
  <c r="C41" i="13"/>
  <c r="G33" i="13"/>
  <c r="F33" i="13"/>
  <c r="E33" i="13"/>
  <c r="D33" i="13"/>
  <c r="C33" i="13"/>
  <c r="C22" i="13"/>
  <c r="G21" i="13"/>
  <c r="C26" i="9" s="1"/>
  <c r="F21" i="13"/>
  <c r="E21" i="13"/>
  <c r="D21" i="13"/>
  <c r="E20" i="13"/>
  <c r="D20" i="13"/>
  <c r="G19" i="13"/>
  <c r="F19" i="13"/>
  <c r="E19" i="13"/>
  <c r="D19" i="13"/>
  <c r="G15" i="13"/>
  <c r="C22" i="9" s="1"/>
  <c r="F15" i="13"/>
  <c r="E15" i="13"/>
  <c r="D15" i="13"/>
  <c r="G12" i="13"/>
  <c r="F12" i="13"/>
  <c r="E12" i="13"/>
  <c r="D12" i="13"/>
  <c r="C12" i="13"/>
  <c r="G19" i="12"/>
  <c r="F19" i="12"/>
  <c r="E19" i="12"/>
  <c r="D19" i="12"/>
  <c r="C19" i="12"/>
  <c r="C18" i="12"/>
  <c r="D17" i="12"/>
  <c r="C17" i="12"/>
  <c r="G12" i="12"/>
  <c r="G21" i="3" s="1"/>
  <c r="F12" i="12"/>
  <c r="F21" i="3" s="1"/>
  <c r="F7" i="6" s="1"/>
  <c r="E12" i="12"/>
  <c r="E21" i="3" s="1"/>
  <c r="D12" i="12"/>
  <c r="D21" i="3" s="1"/>
  <c r="C12" i="12"/>
  <c r="C21" i="3" s="1"/>
  <c r="G11" i="12"/>
  <c r="G14" i="3" s="1"/>
  <c r="G5" i="6" s="1"/>
  <c r="F11" i="12"/>
  <c r="F14" i="3" s="1"/>
  <c r="F5" i="6" s="1"/>
  <c r="E11" i="12"/>
  <c r="E14" i="3" s="1"/>
  <c r="D11" i="12"/>
  <c r="D14" i="3" s="1"/>
  <c r="D5" i="6" s="1"/>
  <c r="C11" i="12"/>
  <c r="C14" i="3" s="1"/>
  <c r="G9" i="12"/>
  <c r="G7" i="3" s="1"/>
  <c r="E9" i="12"/>
  <c r="E7" i="3" s="1"/>
  <c r="D9" i="12"/>
  <c r="F8" i="12"/>
  <c r="F9" i="12" s="1"/>
  <c r="C7" i="12"/>
  <c r="C9" i="12" s="1"/>
  <c r="C7" i="3" s="1"/>
  <c r="C4" i="6" s="1"/>
  <c r="J63" i="10"/>
  <c r="I63" i="10"/>
  <c r="J62" i="10"/>
  <c r="I62" i="10"/>
  <c r="J61" i="10"/>
  <c r="I61" i="10"/>
  <c r="J60" i="10"/>
  <c r="I60" i="10"/>
  <c r="J59" i="10"/>
  <c r="I59" i="10"/>
  <c r="J58" i="10"/>
  <c r="I58" i="10"/>
  <c r="J57" i="10"/>
  <c r="I57" i="10"/>
  <c r="J56" i="10"/>
  <c r="I56" i="10"/>
  <c r="J55" i="10"/>
  <c r="I55" i="10"/>
  <c r="J54" i="10"/>
  <c r="I54" i="10"/>
  <c r="J53" i="10"/>
  <c r="I53" i="10"/>
  <c r="J52" i="10"/>
  <c r="I52" i="10"/>
  <c r="J51" i="10"/>
  <c r="I51" i="10"/>
  <c r="J50" i="10"/>
  <c r="I50" i="10"/>
  <c r="J49" i="10"/>
  <c r="I49" i="10"/>
  <c r="J48" i="10"/>
  <c r="I48" i="10"/>
  <c r="J47" i="10"/>
  <c r="I47" i="10"/>
  <c r="J46" i="10"/>
  <c r="I46" i="10"/>
  <c r="J45" i="10"/>
  <c r="I45" i="10"/>
  <c r="J44" i="10"/>
  <c r="I44" i="10"/>
  <c r="J43" i="10"/>
  <c r="I43" i="10"/>
  <c r="J42" i="10"/>
  <c r="I42" i="10"/>
  <c r="J41" i="10"/>
  <c r="I41" i="10"/>
  <c r="J40" i="10"/>
  <c r="I40" i="10"/>
  <c r="J39" i="10"/>
  <c r="I39" i="10"/>
  <c r="J38" i="10"/>
  <c r="I38" i="10"/>
  <c r="J37" i="10"/>
  <c r="I37" i="10"/>
  <c r="J36" i="10"/>
  <c r="I36" i="10"/>
  <c r="J35" i="10"/>
  <c r="I35" i="10"/>
  <c r="J34" i="10"/>
  <c r="I34" i="10"/>
  <c r="J33" i="10"/>
  <c r="I33" i="10"/>
  <c r="J32" i="10"/>
  <c r="I32" i="10"/>
  <c r="J31" i="10"/>
  <c r="I31" i="10"/>
  <c r="J30" i="10"/>
  <c r="I30" i="10"/>
  <c r="C29" i="10"/>
  <c r="J29" i="10"/>
  <c r="I29" i="10"/>
  <c r="J28" i="10"/>
  <c r="I28" i="10"/>
  <c r="C27" i="10"/>
  <c r="J27" i="10"/>
  <c r="I27" i="10"/>
  <c r="J26" i="10"/>
  <c r="I26" i="10"/>
  <c r="J25" i="10"/>
  <c r="I25" i="10"/>
  <c r="J24" i="10"/>
  <c r="I24" i="10"/>
  <c r="J23" i="10"/>
  <c r="I23" i="10"/>
  <c r="J22" i="10"/>
  <c r="I22" i="10"/>
  <c r="J21" i="10"/>
  <c r="I21" i="10"/>
  <c r="J20" i="10"/>
  <c r="I20" i="10"/>
  <c r="J19" i="10"/>
  <c r="I19" i="10"/>
  <c r="J18" i="10"/>
  <c r="I18" i="10"/>
  <c r="J17" i="10"/>
  <c r="I17" i="10"/>
  <c r="J16" i="10"/>
  <c r="I16" i="10"/>
  <c r="J15" i="10"/>
  <c r="I15" i="10"/>
  <c r="J14" i="10"/>
  <c r="I14" i="10"/>
  <c r="J13" i="10"/>
  <c r="I13" i="10"/>
  <c r="J12" i="10"/>
  <c r="I12" i="10"/>
  <c r="J11" i="10"/>
  <c r="I11" i="10"/>
  <c r="J10" i="10"/>
  <c r="I10" i="10"/>
  <c r="J9" i="10"/>
  <c r="I9" i="10"/>
  <c r="J8" i="10"/>
  <c r="I8" i="10"/>
  <c r="J7" i="10"/>
  <c r="I7" i="10"/>
  <c r="J6" i="10"/>
  <c r="I6" i="10"/>
  <c r="J5" i="10"/>
  <c r="I5" i="10"/>
  <c r="C33" i="9"/>
  <c r="C28" i="9"/>
  <c r="C34" i="9" s="1"/>
  <c r="C25" i="9"/>
  <c r="C24" i="9"/>
  <c r="C23" i="9"/>
  <c r="C21" i="9"/>
  <c r="C37" i="9" s="1"/>
  <c r="C20" i="9"/>
  <c r="C36" i="9" s="1"/>
  <c r="C14" i="9"/>
  <c r="C44" i="9" s="1"/>
  <c r="G12" i="6"/>
  <c r="F12" i="6"/>
  <c r="E12" i="6"/>
  <c r="D12" i="6"/>
  <c r="C12" i="6"/>
  <c r="B7" i="6"/>
  <c r="I15" i="4"/>
  <c r="H15" i="4"/>
  <c r="G13" i="4"/>
  <c r="G7" i="7" s="1"/>
  <c r="H4" i="7" s="1"/>
  <c r="F13" i="4"/>
  <c r="F7" i="7" s="1"/>
  <c r="G4" i="7" s="1"/>
  <c r="E13" i="4"/>
  <c r="E7" i="7" s="1"/>
  <c r="D13" i="4"/>
  <c r="C13" i="4"/>
  <c r="C7" i="7" s="1"/>
  <c r="D4" i="7" s="1"/>
  <c r="G10" i="4"/>
  <c r="F10" i="4"/>
  <c r="F9" i="7" s="1"/>
  <c r="E10" i="4"/>
  <c r="E9" i="7" s="1"/>
  <c r="D10" i="4"/>
  <c r="D9" i="7" s="1"/>
  <c r="C10" i="4"/>
  <c r="C9" i="7" s="1"/>
  <c r="G7" i="4"/>
  <c r="G11" i="7" s="1"/>
  <c r="F7" i="4"/>
  <c r="F11" i="7" s="1"/>
  <c r="E7" i="4"/>
  <c r="E11" i="7" s="1"/>
  <c r="D7" i="4"/>
  <c r="D11" i="7" s="1"/>
  <c r="C7" i="4"/>
  <c r="C11" i="7" s="1"/>
  <c r="G4" i="4"/>
  <c r="F4" i="4"/>
  <c r="F10" i="7" s="1"/>
  <c r="E4" i="4"/>
  <c r="E10" i="7" s="1"/>
  <c r="D4" i="4"/>
  <c r="C4" i="4"/>
  <c r="C10" i="7" s="1"/>
  <c r="M35" i="3"/>
  <c r="L12" i="6" s="1"/>
  <c r="L35" i="3"/>
  <c r="K12" i="6" s="1"/>
  <c r="K35" i="3"/>
  <c r="J12" i="6" s="1"/>
  <c r="J35" i="3"/>
  <c r="I12" i="6" s="1"/>
  <c r="I35" i="3"/>
  <c r="C15" i="10" s="1"/>
  <c r="C16" i="10" s="1"/>
  <c r="M29" i="3"/>
  <c r="L17" i="4" s="1"/>
  <c r="L15" i="4" s="1"/>
  <c r="L29" i="3"/>
  <c r="K17" i="4" s="1"/>
  <c r="K15" i="4" s="1"/>
  <c r="K29" i="3"/>
  <c r="J17" i="4" s="1"/>
  <c r="J15" i="4" s="1"/>
  <c r="J29" i="3"/>
  <c r="I29" i="3"/>
  <c r="G28" i="3"/>
  <c r="G9" i="6" s="1"/>
  <c r="F28" i="3"/>
  <c r="E28" i="3"/>
  <c r="D28" i="3"/>
  <c r="D9" i="6" s="1"/>
  <c r="C28" i="3"/>
  <c r="C9" i="6" s="1"/>
  <c r="M22" i="3"/>
  <c r="L22" i="3"/>
  <c r="K22" i="3"/>
  <c r="J22" i="3"/>
  <c r="I22" i="3"/>
  <c r="M15" i="3"/>
  <c r="L15" i="3"/>
  <c r="K15" i="3"/>
  <c r="J15" i="3"/>
  <c r="I15" i="3"/>
  <c r="M8" i="3"/>
  <c r="L8" i="3"/>
  <c r="K8" i="3"/>
  <c r="J8" i="3"/>
  <c r="I8" i="3"/>
  <c r="D21" i="4" l="1"/>
  <c r="D5" i="4"/>
  <c r="H12" i="6"/>
  <c r="G42" i="13"/>
  <c r="E8" i="4"/>
  <c r="C8" i="4"/>
  <c r="F42" i="13"/>
  <c r="G22" i="4"/>
  <c r="F5" i="8"/>
  <c r="G11" i="4"/>
  <c r="E22" i="4"/>
  <c r="I7" i="3"/>
  <c r="H4" i="6" s="1"/>
  <c r="F22" i="4"/>
  <c r="C11" i="4"/>
  <c r="C42" i="13"/>
  <c r="F11" i="4"/>
  <c r="C5" i="8"/>
  <c r="D42" i="13"/>
  <c r="D7" i="7"/>
  <c r="E4" i="7" s="1"/>
  <c r="F22" i="13"/>
  <c r="F23" i="13" s="1"/>
  <c r="D5" i="8"/>
  <c r="E42" i="13"/>
  <c r="E5" i="8"/>
  <c r="G5" i="4"/>
  <c r="D13" i="12"/>
  <c r="D14" i="12" s="1"/>
  <c r="D16" i="12" s="1"/>
  <c r="D20" i="12" s="1"/>
  <c r="D22" i="12" s="1"/>
  <c r="E5" i="4"/>
  <c r="D22" i="4"/>
  <c r="D7" i="3"/>
  <c r="D15" i="3" s="1"/>
  <c r="G8" i="4"/>
  <c r="F9" i="6"/>
  <c r="D22" i="13"/>
  <c r="D23" i="13" s="1"/>
  <c r="D10" i="7"/>
  <c r="D12" i="7" s="1"/>
  <c r="E11" i="4"/>
  <c r="C23" i="13"/>
  <c r="G9" i="7"/>
  <c r="C5" i="7"/>
  <c r="D5" i="7"/>
  <c r="E29" i="3"/>
  <c r="F12" i="7"/>
  <c r="E5" i="7"/>
  <c r="C5" i="4"/>
  <c r="G22" i="13"/>
  <c r="G23" i="13" s="1"/>
  <c r="F5" i="7"/>
  <c r="E22" i="13"/>
  <c r="E23" i="13" s="1"/>
  <c r="F13" i="12"/>
  <c r="F14" i="12" s="1"/>
  <c r="F16" i="12" s="1"/>
  <c r="F20" i="12" s="1"/>
  <c r="F22" i="12" s="1"/>
  <c r="E21" i="4"/>
  <c r="G5" i="7"/>
  <c r="G6" i="7" s="1"/>
  <c r="D8" i="4"/>
  <c r="G21" i="4"/>
  <c r="G13" i="12"/>
  <c r="G14" i="12" s="1"/>
  <c r="G16" i="12" s="1"/>
  <c r="G20" i="12" s="1"/>
  <c r="G22" i="12" s="1"/>
  <c r="F8" i="4"/>
  <c r="E4" i="6"/>
  <c r="C38" i="9"/>
  <c r="C5" i="10"/>
  <c r="C6" i="10" s="1"/>
  <c r="C20" i="10" s="1"/>
  <c r="C10" i="10"/>
  <c r="C12" i="10" s="1"/>
  <c r="G7" i="6"/>
  <c r="G22" i="3"/>
  <c r="C35" i="9"/>
  <c r="E22" i="3"/>
  <c r="E7" i="6"/>
  <c r="F5" i="4"/>
  <c r="F21" i="4"/>
  <c r="F7" i="3"/>
  <c r="G8" i="3" s="1"/>
  <c r="F4" i="7"/>
  <c r="C5" i="6"/>
  <c r="C6" i="6" s="1"/>
  <c r="C15" i="3"/>
  <c r="C22" i="3"/>
  <c r="C7" i="6"/>
  <c r="C12" i="7"/>
  <c r="E12" i="7"/>
  <c r="E15" i="3"/>
  <c r="E5" i="6"/>
  <c r="D7" i="6"/>
  <c r="C29" i="3"/>
  <c r="D11" i="4"/>
  <c r="G10" i="7"/>
  <c r="G29" i="3"/>
  <c r="G4" i="6"/>
  <c r="G6" i="6" s="1"/>
  <c r="C13" i="12"/>
  <c r="C14" i="12" s="1"/>
  <c r="C16" i="12" s="1"/>
  <c r="C20" i="12" s="1"/>
  <c r="C22" i="12" s="1"/>
  <c r="G15" i="3"/>
  <c r="E9" i="6"/>
  <c r="E13" i="12"/>
  <c r="E14" i="12" s="1"/>
  <c r="E16" i="12" s="1"/>
  <c r="E20" i="12" s="1"/>
  <c r="E22" i="12" s="1"/>
  <c r="E6" i="7" l="1"/>
  <c r="E14" i="4" s="1"/>
  <c r="D8" i="3"/>
  <c r="C19" i="10"/>
  <c r="C22" i="10" s="1"/>
  <c r="I11" i="4"/>
  <c r="E6" i="6"/>
  <c r="G12" i="7"/>
  <c r="G13" i="7" s="1"/>
  <c r="F8" i="8" s="1"/>
  <c r="I14" i="3"/>
  <c r="H5" i="6" s="1"/>
  <c r="H6" i="6" s="1"/>
  <c r="H11" i="4"/>
  <c r="I21" i="3"/>
  <c r="H7" i="6" s="1"/>
  <c r="K8" i="4"/>
  <c r="E8" i="6"/>
  <c r="E10" i="6" s="1"/>
  <c r="E11" i="6" s="1"/>
  <c r="E14" i="6" s="1"/>
  <c r="D4" i="8" s="1"/>
  <c r="D6" i="8" s="1"/>
  <c r="I28" i="3"/>
  <c r="H22" i="4" s="1"/>
  <c r="H14" i="4"/>
  <c r="J7" i="3"/>
  <c r="J28" i="3" s="1"/>
  <c r="D4" i="6"/>
  <c r="D6" i="6" s="1"/>
  <c r="J11" i="4"/>
  <c r="E8" i="3"/>
  <c r="F6" i="7"/>
  <c r="F14" i="4" s="1"/>
  <c r="D29" i="3"/>
  <c r="J5" i="4"/>
  <c r="D22" i="3"/>
  <c r="D6" i="7"/>
  <c r="C7" i="8" s="1"/>
  <c r="E13" i="7"/>
  <c r="D8" i="8" s="1"/>
  <c r="L8" i="4"/>
  <c r="K11" i="4"/>
  <c r="F15" i="3"/>
  <c r="J8" i="4"/>
  <c r="I8" i="4"/>
  <c r="C8" i="6"/>
  <c r="C10" i="6" s="1"/>
  <c r="C11" i="6" s="1"/>
  <c r="C14" i="6" s="1"/>
  <c r="H8" i="4"/>
  <c r="C39" i="9"/>
  <c r="K5" i="4"/>
  <c r="L5" i="4"/>
  <c r="G5" i="8"/>
  <c r="I5" i="4"/>
  <c r="L11" i="4"/>
  <c r="H5" i="4"/>
  <c r="H4" i="4" s="1"/>
  <c r="H10" i="7" s="1"/>
  <c r="G8" i="6"/>
  <c r="G10" i="6" s="1"/>
  <c r="F22" i="3"/>
  <c r="F4" i="6"/>
  <c r="F8" i="3"/>
  <c r="F29" i="3"/>
  <c r="G14" i="4"/>
  <c r="F7" i="8"/>
  <c r="F13" i="7"/>
  <c r="E8" i="8" s="1"/>
  <c r="D13" i="7"/>
  <c r="C8" i="8" s="1"/>
  <c r="I4" i="4" l="1"/>
  <c r="I10" i="7" s="1"/>
  <c r="H9" i="6"/>
  <c r="H5" i="7"/>
  <c r="H13" i="4"/>
  <c r="I22" i="4" s="1"/>
  <c r="D7" i="8"/>
  <c r="D9" i="8" s="1"/>
  <c r="E7" i="9" s="1"/>
  <c r="H10" i="4"/>
  <c r="H9" i="7" s="1"/>
  <c r="H7" i="4"/>
  <c r="H11" i="7" s="1"/>
  <c r="H8" i="6"/>
  <c r="D8" i="6"/>
  <c r="D10" i="6" s="1"/>
  <c r="D11" i="6" s="1"/>
  <c r="D14" i="6" s="1"/>
  <c r="C4" i="8" s="1"/>
  <c r="C6" i="8" s="1"/>
  <c r="C9" i="8" s="1"/>
  <c r="D7" i="9" s="1"/>
  <c r="J21" i="3"/>
  <c r="I7" i="6" s="1"/>
  <c r="J14" i="3"/>
  <c r="I5" i="6" s="1"/>
  <c r="E7" i="8"/>
  <c r="H20" i="4"/>
  <c r="H6" i="7"/>
  <c r="G7" i="8" s="1"/>
  <c r="I14" i="4"/>
  <c r="I6" i="7" s="1"/>
  <c r="H7" i="8" s="1"/>
  <c r="K7" i="3"/>
  <c r="L7" i="3" s="1"/>
  <c r="K4" i="4" s="1"/>
  <c r="K10" i="7" s="1"/>
  <c r="I4" i="6"/>
  <c r="D14" i="4"/>
  <c r="D20" i="4" s="1"/>
  <c r="F6" i="6"/>
  <c r="F8" i="6"/>
  <c r="F10" i="6" s="1"/>
  <c r="G11" i="6"/>
  <c r="G14" i="6" s="1"/>
  <c r="F4" i="8" s="1"/>
  <c r="F6" i="8" s="1"/>
  <c r="F9" i="8" s="1"/>
  <c r="G7" i="9" s="1"/>
  <c r="E15" i="4"/>
  <c r="E20" i="4"/>
  <c r="H5" i="8"/>
  <c r="I9" i="6"/>
  <c r="I5" i="7"/>
  <c r="G15" i="4"/>
  <c r="G20" i="4"/>
  <c r="C3" i="9"/>
  <c r="N33" i="9"/>
  <c r="N36" i="9"/>
  <c r="N18" i="9"/>
  <c r="N17" i="9"/>
  <c r="N15" i="9"/>
  <c r="N35" i="9"/>
  <c r="N16" i="9"/>
  <c r="N32" i="9"/>
  <c r="N34" i="9"/>
  <c r="N14" i="9"/>
  <c r="N31" i="9"/>
  <c r="N13" i="9"/>
  <c r="F15" i="4"/>
  <c r="F20" i="4"/>
  <c r="D15" i="4" l="1"/>
  <c r="H21" i="4"/>
  <c r="K14" i="3"/>
  <c r="J5" i="6" s="1"/>
  <c r="J14" i="4"/>
  <c r="J6" i="7" s="1"/>
  <c r="I7" i="8" s="1"/>
  <c r="K28" i="3"/>
  <c r="J9" i="6" s="1"/>
  <c r="K21" i="3"/>
  <c r="J7" i="6" s="1"/>
  <c r="H10" i="6"/>
  <c r="H11" i="6" s="1"/>
  <c r="H14" i="6" s="1"/>
  <c r="G4" i="8" s="1"/>
  <c r="G6" i="8" s="1"/>
  <c r="I7" i="4"/>
  <c r="I11" i="7" s="1"/>
  <c r="J4" i="6"/>
  <c r="I20" i="4"/>
  <c r="J4" i="4"/>
  <c r="J10" i="7" s="1"/>
  <c r="I13" i="4"/>
  <c r="I6" i="6"/>
  <c r="H12" i="7"/>
  <c r="H13" i="7" s="1"/>
  <c r="G8" i="8" s="1"/>
  <c r="I8" i="6"/>
  <c r="I10" i="6" s="1"/>
  <c r="I11" i="6" s="1"/>
  <c r="I14" i="6" s="1"/>
  <c r="H4" i="8" s="1"/>
  <c r="H6" i="8" s="1"/>
  <c r="H7" i="7"/>
  <c r="I4" i="7" s="1"/>
  <c r="I7" i="7" s="1"/>
  <c r="J4" i="7" s="1"/>
  <c r="I10" i="4"/>
  <c r="I9" i="7" s="1"/>
  <c r="H8" i="9"/>
  <c r="L8" i="9"/>
  <c r="K8" i="9"/>
  <c r="J8" i="9"/>
  <c r="I8" i="9"/>
  <c r="C45" i="9"/>
  <c r="F11" i="6"/>
  <c r="F14" i="6" s="1"/>
  <c r="E4" i="8" s="1"/>
  <c r="E6" i="8" s="1"/>
  <c r="E9" i="8" s="1"/>
  <c r="F7" i="9" s="1"/>
  <c r="J7" i="4"/>
  <c r="J11" i="7" s="1"/>
  <c r="L14" i="3"/>
  <c r="M7" i="3"/>
  <c r="K4" i="6"/>
  <c r="L21" i="3"/>
  <c r="K7" i="6" s="1"/>
  <c r="L28" i="3"/>
  <c r="K14" i="4"/>
  <c r="I12" i="7" l="1"/>
  <c r="I13" i="7" s="1"/>
  <c r="H8" i="8" s="1"/>
  <c r="H9" i="8" s="1"/>
  <c r="I7" i="9" s="1"/>
  <c r="I9" i="9" s="1"/>
  <c r="J10" i="4"/>
  <c r="J9" i="7" s="1"/>
  <c r="J12" i="7" s="1"/>
  <c r="J13" i="7" s="1"/>
  <c r="I8" i="8" s="1"/>
  <c r="G9" i="8"/>
  <c r="H7" i="9" s="1"/>
  <c r="I5" i="8"/>
  <c r="J20" i="4"/>
  <c r="J13" i="4"/>
  <c r="K22" i="4" s="1"/>
  <c r="J5" i="7"/>
  <c r="J7" i="7" s="1"/>
  <c r="K4" i="7" s="1"/>
  <c r="J22" i="4"/>
  <c r="I21" i="4"/>
  <c r="J6" i="6"/>
  <c r="J8" i="6"/>
  <c r="J10" i="6" s="1"/>
  <c r="J11" i="6" s="1"/>
  <c r="J14" i="6" s="1"/>
  <c r="I4" i="8" s="1"/>
  <c r="H9" i="9"/>
  <c r="K6" i="7"/>
  <c r="J7" i="8" s="1"/>
  <c r="K20" i="4"/>
  <c r="K5" i="6"/>
  <c r="K6" i="6" s="1"/>
  <c r="K7" i="4"/>
  <c r="K11" i="7" s="1"/>
  <c r="K10" i="4"/>
  <c r="K9" i="7" s="1"/>
  <c r="K9" i="6"/>
  <c r="K5" i="7"/>
  <c r="J5" i="8"/>
  <c r="M14" i="3"/>
  <c r="M21" i="3"/>
  <c r="L7" i="6" s="1"/>
  <c r="L4" i="6"/>
  <c r="M28" i="3"/>
  <c r="L14" i="4"/>
  <c r="L4" i="4"/>
  <c r="L10" i="7" s="1"/>
  <c r="K13" i="4" l="1"/>
  <c r="L22" i="4" s="1"/>
  <c r="J21" i="4"/>
  <c r="I6" i="8"/>
  <c r="I9" i="8" s="1"/>
  <c r="J7" i="9" s="1"/>
  <c r="J9" i="9" s="1"/>
  <c r="K7" i="7"/>
  <c r="L4" i="7" s="1"/>
  <c r="K8" i="6"/>
  <c r="K10" i="6" s="1"/>
  <c r="K11" i="6" s="1"/>
  <c r="K14" i="6" s="1"/>
  <c r="J4" i="8" s="1"/>
  <c r="J6" i="8" s="1"/>
  <c r="L20" i="4"/>
  <c r="L6" i="7"/>
  <c r="K7" i="8" s="1"/>
  <c r="L5" i="6"/>
  <c r="L6" i="6" s="1"/>
  <c r="L7" i="4"/>
  <c r="L11" i="7" s="1"/>
  <c r="L10" i="4"/>
  <c r="L9" i="7" s="1"/>
  <c r="L9" i="6"/>
  <c r="L5" i="7"/>
  <c r="K5" i="8"/>
  <c r="K12" i="7"/>
  <c r="K13" i="7" s="1"/>
  <c r="J8" i="8" s="1"/>
  <c r="K21" i="4" l="1"/>
  <c r="L13" i="4"/>
  <c r="L21" i="4" s="1"/>
  <c r="J9" i="8"/>
  <c r="K7" i="9" s="1"/>
  <c r="K9" i="9" s="1"/>
  <c r="L7" i="7"/>
  <c r="L8" i="6"/>
  <c r="L10" i="6" s="1"/>
  <c r="L12" i="7"/>
  <c r="L13" i="7" s="1"/>
  <c r="K8" i="8" s="1"/>
  <c r="L11" i="6" l="1"/>
  <c r="L14" i="6" s="1"/>
  <c r="K4" i="8" s="1"/>
  <c r="K6" i="8" s="1"/>
  <c r="K9" i="8" s="1"/>
  <c r="L7" i="9" s="1"/>
  <c r="C15" i="9" l="1"/>
  <c r="C16" i="9" s="1"/>
  <c r="L9" i="9"/>
  <c r="C13" i="9" s="1"/>
  <c r="C40" i="9" l="1"/>
  <c r="C41" i="9" s="1"/>
  <c r="C42" i="9" s="1"/>
  <c r="C43" i="9" s="1"/>
  <c r="C17" i="9"/>
  <c r="B46" i="9" l="1"/>
  <c r="N12" i="9"/>
  <c r="C27" i="9"/>
  <c r="C29" i="9" s="1"/>
  <c r="N30" i="9" s="1"/>
  <c r="D13" i="9"/>
  <c r="D16" i="9"/>
</calcChain>
</file>

<file path=xl/sharedStrings.xml><?xml version="1.0" encoding="utf-8"?>
<sst xmlns="http://schemas.openxmlformats.org/spreadsheetml/2006/main" count="304" uniqueCount="196">
  <si>
    <t>P&amp;L assumptions</t>
  </si>
  <si>
    <t>Possible Cases</t>
  </si>
  <si>
    <t>Optimistic</t>
  </si>
  <si>
    <t>Average</t>
  </si>
  <si>
    <t>Selected case</t>
  </si>
  <si>
    <t>Pessimistic</t>
  </si>
  <si>
    <t>INR in Millions</t>
  </si>
  <si>
    <t>FY14
Actual</t>
  </si>
  <si>
    <t>FY15
Actual</t>
  </si>
  <si>
    <t>FY16
Actual</t>
  </si>
  <si>
    <t>FY17
Actual</t>
  </si>
  <si>
    <t>FY18
Actual</t>
  </si>
  <si>
    <t>FY19
Forecast</t>
  </si>
  <si>
    <t>FY20
Forecast</t>
  </si>
  <si>
    <t>FY21
Forecast</t>
  </si>
  <si>
    <t>FY22
Forecast</t>
  </si>
  <si>
    <t>FY23
Forecast</t>
  </si>
  <si>
    <t>Net Revenue</t>
  </si>
  <si>
    <t>Growth Rate (%)</t>
  </si>
  <si>
    <t>Cost of Materials Consumed</t>
  </si>
  <si>
    <t>% of Net Revenue</t>
  </si>
  <si>
    <t>Marketing &amp; Other Operating Expenses</t>
  </si>
  <si>
    <t>Depreciation &amp; Ammortization Expenses</t>
  </si>
  <si>
    <t>Tax Expense (%)</t>
  </si>
  <si>
    <t>Nestlé India Limited (NSE: NESTLEIND)</t>
  </si>
  <si>
    <t>Valuation date: 31 December 2018</t>
  </si>
  <si>
    <t>All figures in ₹ million</t>
  </si>
  <si>
    <t>Share price used: ₹11,107</t>
  </si>
  <si>
    <t>Method: unlevered DCF, five-year forecast plus terminal value</t>
  </si>
  <si>
    <t>Prepared by: Neev Hiranandani</t>
  </si>
  <si>
    <t>1.Input --&gt;</t>
  </si>
  <si>
    <t>BS assumptions</t>
  </si>
  <si>
    <t>Accounts Receivable</t>
  </si>
  <si>
    <t>DSO</t>
  </si>
  <si>
    <t>Accounts Payable</t>
  </si>
  <si>
    <t>DPO</t>
  </si>
  <si>
    <t>Inventory</t>
  </si>
  <si>
    <t>DIO</t>
  </si>
  <si>
    <t>Net PP&amp;E (closing)</t>
  </si>
  <si>
    <t>Capex</t>
  </si>
  <si>
    <t>Capex (% of Net Revenue)</t>
  </si>
  <si>
    <t>Capex forecast directly as a percentage of sales. FY15-18 capex averaged only 1.18% of sales, equal to 0.4x depreciation, which drew Net PP&amp;E down from 34,214 to 25,058 and cannot continue indefinitely. The average case therefore ramps capex to maintenance level, defined as equal to the depreciation ratio, by FY21 and holds it there.</t>
  </si>
  <si>
    <t>Memo: Capex / Depreciation (x)</t>
  </si>
  <si>
    <t>Memo: Net PP&amp;E (% of Net Revenue)</t>
  </si>
  <si>
    <t>Memo: Implied depreciation rate on opening Net PP&amp;E</t>
  </si>
  <si>
    <t>2.Output --&gt;</t>
  </si>
  <si>
    <t>P&amp;L</t>
  </si>
  <si>
    <t>Note</t>
  </si>
  <si>
    <t>Revenues</t>
  </si>
  <si>
    <t>Cost of goods sold</t>
  </si>
  <si>
    <t>Gross Margin</t>
  </si>
  <si>
    <t>EBITDA</t>
  </si>
  <si>
    <t>D&amp;A</t>
  </si>
  <si>
    <t>EBIT</t>
  </si>
  <si>
    <t>Taxes</t>
  </si>
  <si>
    <t>Tax rate</t>
  </si>
  <si>
    <t>Net Operating Profit After Taxes (NOPAT)</t>
  </si>
  <si>
    <t>Balance Sheet</t>
  </si>
  <si>
    <t>Property, plant and equipment</t>
  </si>
  <si>
    <t>Depreciation</t>
  </si>
  <si>
    <t>Ending Value</t>
  </si>
  <si>
    <t>Trade receivable</t>
  </si>
  <si>
    <t>Trade payable</t>
  </si>
  <si>
    <t>Working Capital</t>
  </si>
  <si>
    <t>Change In Working Capital</t>
  </si>
  <si>
    <t>Cash Flow</t>
  </si>
  <si>
    <t>NOPAT</t>
  </si>
  <si>
    <t>Add: Deprecitaion &amp; Amortization</t>
  </si>
  <si>
    <t>Gross Cash Flow</t>
  </si>
  <si>
    <t>Less: Capex</t>
  </si>
  <si>
    <t>Less: Investment in working capital</t>
  </si>
  <si>
    <t>Net Cash Flow</t>
  </si>
  <si>
    <t>DCF Valuation</t>
  </si>
  <si>
    <t>WACC</t>
  </si>
  <si>
    <t>Base</t>
  </si>
  <si>
    <t>Terminal growth case selector</t>
  </si>
  <si>
    <t>Discount Factor</t>
  </si>
  <si>
    <t>Present Value of Net Cash Flow</t>
  </si>
  <si>
    <t>Enterprise Value</t>
  </si>
  <si>
    <t>Terminal Growth Rate (%)</t>
  </si>
  <si>
    <t>WACC (%)</t>
  </si>
  <si>
    <t>DCF Value</t>
  </si>
  <si>
    <t>Chosen Terminal Growth Rate</t>
  </si>
  <si>
    <t>Continuing Value</t>
  </si>
  <si>
    <t>Present Value of Continuing Value</t>
  </si>
  <si>
    <t>Less: Debt</t>
  </si>
  <si>
    <t>Less: Provisions (employee benefits and contingencies)</t>
  </si>
  <si>
    <t>Provisions of ₹26,221.8m treated as debt-like. Note 37 of the FY2018 annual report (p.69) gives the contingency provision as ₹7,482.2m litigation plus ₹1,190.8m other; the balance is employee benefit obligations. Both rank ahead of shareholders.</t>
  </si>
  <si>
    <t>Add: Cash and Cash Equivalents</t>
  </si>
  <si>
    <t>Add: Investments (non-current)</t>
  </si>
  <si>
    <t>Add: Loans</t>
  </si>
  <si>
    <t>Add: Investments (current)</t>
  </si>
  <si>
    <t>Add: Other non-operating financial assets</t>
  </si>
  <si>
    <t>Equity value</t>
  </si>
  <si>
    <t>Number of Shares</t>
  </si>
  <si>
    <t>Value of Per Equity Share</t>
  </si>
  <si>
    <t>Value per Equity Share</t>
  </si>
  <si>
    <t>Reconciliation to Market Price</t>
  </si>
  <si>
    <t>Market price per share (INR, 31 Dec 2018)</t>
  </si>
  <si>
    <t>Shares outstanding (millions)</t>
  </si>
  <si>
    <t>Market capitalisation</t>
  </si>
  <si>
    <t>Add: Debt</t>
  </si>
  <si>
    <t>Add: Provisions (debt-like)</t>
  </si>
  <si>
    <t>Less: Non-operating assets</t>
  </si>
  <si>
    <t>Market-implied Enterprise Value</t>
  </si>
  <si>
    <t>Less: PV of explicit forecast cash flow</t>
  </si>
  <si>
    <t>Market-implied PV of continuing value</t>
  </si>
  <si>
    <t>Market-implied continuing value at FY23</t>
  </si>
  <si>
    <t>Market-implied terminal growth rate</t>
  </si>
  <si>
    <t>Terminal growth rate used in this model</t>
  </si>
  <si>
    <t>WACC used in this model</t>
  </si>
  <si>
    <t>This price series is Nestle India unadjusted for the 2024 share split, retained as the source for the market price input in C26. Beta is regressed on the split-adjusted price block to the right.</t>
  </si>
  <si>
    <t xml:space="preserve">Cost of Capital  </t>
  </si>
  <si>
    <t>Comments</t>
  </si>
  <si>
    <t>Date</t>
  </si>
  <si>
    <t>Nestle Share price</t>
  </si>
  <si>
    <t>Nestle monthly Share price %</t>
  </si>
  <si>
    <t>Nestle India (INR)</t>
  </si>
  <si>
    <t>Nifty 50</t>
  </si>
  <si>
    <t>Monthly return - Nestle</t>
  </si>
  <si>
    <t>Monthly return - Nifty 50</t>
  </si>
  <si>
    <t>Key Inputs:</t>
  </si>
  <si>
    <t>Total Equity to Capital</t>
  </si>
  <si>
    <t>Debt to Capital</t>
  </si>
  <si>
    <t>Calculations:</t>
  </si>
  <si>
    <t>Risk Free Rate</t>
  </si>
  <si>
    <t>Equity Beta</t>
  </si>
  <si>
    <t>Nestle India monthly returns regressed on the Nifty 50, Jan 2014 to Dec 2018, the 60 months ending at the valuation date. Prices from Investing.com.</t>
  </si>
  <si>
    <t>Market Risk Premium</t>
  </si>
  <si>
    <t>Cost of Equity</t>
  </si>
  <si>
    <t>Pre-tax cost of debt</t>
  </si>
  <si>
    <t>Marginal Tax Rate</t>
  </si>
  <si>
    <t>Cost of Debt</t>
  </si>
  <si>
    <t>Weighted Cost of Equity</t>
  </si>
  <si>
    <t>Weighted Cost of Debt</t>
  </si>
  <si>
    <t>Weighted Average Cost of Capital</t>
  </si>
  <si>
    <t>Shares outstanding</t>
  </si>
  <si>
    <t>Per Share price (Not in Millions)</t>
  </si>
  <si>
    <t>Closing price on 31 December 2018 (source: Investing.com). The series used for the beta regression is adjusted for the 2024 share split and for dividends, which is why it shows a different level for the same date. Adjusted prices are the correct input for a returns regression; the actual traded price is the correct input for market capitalisation.</t>
  </si>
  <si>
    <t>Total Equity Value</t>
  </si>
  <si>
    <t>Debt</t>
  </si>
  <si>
    <t>3.Sources --&gt;</t>
  </si>
  <si>
    <t>Source: Nestlé India Annual Report 2018, standalone financial statements.</t>
  </si>
  <si>
    <t>Income Statement</t>
  </si>
  <si>
    <t>INR (Millions)</t>
  </si>
  <si>
    <t>Particulars</t>
  </si>
  <si>
    <t>Sales</t>
  </si>
  <si>
    <t>Other operating revenues</t>
  </si>
  <si>
    <t>Excise Duties</t>
  </si>
  <si>
    <t>Operating item</t>
  </si>
  <si>
    <t>Operating expenses</t>
  </si>
  <si>
    <t>Cost of materials consumed</t>
  </si>
  <si>
    <t>Total operating expenses</t>
  </si>
  <si>
    <t>Depreciation and amortisation expenses</t>
  </si>
  <si>
    <t>Other Income</t>
  </si>
  <si>
    <t>Non Operating item</t>
  </si>
  <si>
    <t>Interest charges</t>
  </si>
  <si>
    <t>Other non operating items</t>
  </si>
  <si>
    <t>Profit before tax</t>
  </si>
  <si>
    <t>Tax expense</t>
  </si>
  <si>
    <t>Profit after tax / Net profit</t>
  </si>
  <si>
    <t>ASSETS</t>
  </si>
  <si>
    <t>NON-CURRENT ASSETS</t>
  </si>
  <si>
    <t>Net PP&amp;E</t>
  </si>
  <si>
    <t>Other non-current assets</t>
  </si>
  <si>
    <t>Investments</t>
  </si>
  <si>
    <t>Loans</t>
  </si>
  <si>
    <t>Total Non-Current Assets</t>
  </si>
  <si>
    <t>CURRENT ASSETS</t>
  </si>
  <si>
    <t>Cash and Cash Equivalents</t>
  </si>
  <si>
    <t>Excluded from operating working capital; added back in equity bridge</t>
  </si>
  <si>
    <t>Inventories</t>
  </si>
  <si>
    <t>Trade Receivables</t>
  </si>
  <si>
    <t>Other current assets</t>
  </si>
  <si>
    <t>Current tax assets</t>
  </si>
  <si>
    <t>Other non operating financial assets</t>
  </si>
  <si>
    <t>Non-Operating item</t>
  </si>
  <si>
    <t>Total Current Assets</t>
  </si>
  <si>
    <t>TOTAL ASSETS</t>
  </si>
  <si>
    <t>LIABILITIES</t>
  </si>
  <si>
    <t>NON-CURRENT LIABILITIES</t>
  </si>
  <si>
    <t>Long Term Debt</t>
  </si>
  <si>
    <t>Deferred Tax Liability</t>
  </si>
  <si>
    <t>Other non-current liabilities</t>
  </si>
  <si>
    <t>Provisions</t>
  </si>
  <si>
    <t>Equity</t>
  </si>
  <si>
    <t>Total Non-Current Liabilities</t>
  </si>
  <si>
    <t>CURRENT LIABILITIES</t>
  </si>
  <si>
    <t>Short Term Debt</t>
  </si>
  <si>
    <t>Other Financial Liabilities</t>
  </si>
  <si>
    <t>TradePayables</t>
  </si>
  <si>
    <t>Other current liabilities</t>
  </si>
  <si>
    <t>Total Current Liabilities</t>
  </si>
  <si>
    <t>TOTAL LIABILITIES</t>
  </si>
  <si>
    <t>NSE50 Share Price</t>
  </si>
  <si>
    <t>NSE50 monthly Share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</si>
</sst>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_);_(* \(#,##0.0\);_(* &quot;-&quot;?_);@_)"/>
    <numFmt numFmtId="165" formatCode="_(* #,##0_);_(* \(#,##0\);_(* &quot;-&quot;?_);@_)"/>
    <numFmt numFmtId="166" formatCode="_(* #,##0.0_);_(* \(#,##0.0\);_(* &quot;-&quot;?_);@_l"/>
    <numFmt numFmtId="167" formatCode="_(* #,##0_);_(* \(#,##0\);_(* &quot;-&quot;??_);_(@_)"/>
    <numFmt numFmtId="168" formatCode="_(* #,##0.0_);_(* \(#,##0.0\);_(* &quot;-&quot;??_);_(@_)"/>
    <numFmt numFmtId="169" formatCode="_(* #,##0.0_);_(* \(#,##0.0\);_(* &quot;-&quot;?_);_(@_)"/>
    <numFmt numFmtId="170" formatCode="0.0%"/>
    <numFmt numFmtId="171" formatCode="_(* #,##0.000_);_(* \(#,##0.000\);_(* &quot;-&quot;?_);@_)"/>
    <numFmt numFmtId="172" formatCode="0.000%"/>
    <numFmt numFmtId="173" formatCode="0.0000"/>
    <numFmt numFmtId="174" formatCode="0.0000000000000000%"/>
    <numFmt numFmtId="175" formatCode="0.00&quot;x&quot;"/>
    <numFmt numFmtId="176" formatCode="#,##0.000"/>
    <numFmt numFmtId="177" formatCode="0.000"/>
  </numFmts>
  <fonts count="31" x14ac:knownFonts="1">
    <font>
      <sz val="12"/>
      <color theme="1"/>
      <name val="Calibri"/>
      <family val="2"/>
      <scheme val="minor"/>
    </font>
    <font>
      <sz val="12"/>
      <color theme="1"/>
      <name val="Calibri"/>
      <family val="2"/>
      <scheme val="minor"/>
    </font>
    <font>
      <sz val="11"/>
      <color theme="1"/>
      <name val="Calibri"/>
      <family val="2"/>
      <scheme val="minor"/>
    </font>
    <font>
      <b/>
      <sz val="12"/>
      <color rgb="FF002060"/>
      <name val="Arial"/>
      <family val="2"/>
    </font>
    <font>
      <sz val="9"/>
      <color theme="1"/>
      <name val="Arial"/>
      <family val="2"/>
    </font>
    <font>
      <b/>
      <sz val="40"/>
      <color rgb="FF002060"/>
      <name val="Arial"/>
      <family val="2"/>
    </font>
    <font>
      <b/>
      <sz val="40"/>
      <color rgb="FF002060"/>
      <name val="Calibri"/>
      <family val="2"/>
    </font>
    <font>
      <b/>
      <sz val="14"/>
      <color rgb="FF002060"/>
      <name val="Calibri"/>
      <family val="2"/>
    </font>
    <font>
      <sz val="14"/>
      <color theme="1"/>
      <name val="Calibri"/>
      <family val="2"/>
    </font>
    <font>
      <i/>
      <sz val="14"/>
      <color theme="1"/>
      <name val="Calibri"/>
      <family val="2"/>
    </font>
    <font>
      <b/>
      <sz val="14"/>
      <color theme="0"/>
      <name val="Calibri"/>
      <family val="2"/>
    </font>
    <font>
      <sz val="14"/>
      <color theme="8"/>
      <name val="Calibri"/>
      <family val="2"/>
    </font>
    <font>
      <b/>
      <sz val="14"/>
      <color theme="1"/>
      <name val="Calibri"/>
      <family val="2"/>
    </font>
    <font>
      <sz val="10"/>
      <name val="Arial"/>
      <family val="2"/>
    </font>
    <font>
      <sz val="14"/>
      <color theme="1"/>
      <name val="Calibri"/>
      <family val="2"/>
      <scheme val="minor"/>
    </font>
    <font>
      <b/>
      <sz val="14"/>
      <color theme="1"/>
      <name val="Calibri"/>
      <family val="2"/>
      <scheme val="minor"/>
    </font>
    <font>
      <b/>
      <sz val="14"/>
      <color theme="0"/>
      <name val="Calibri"/>
      <family val="2"/>
      <scheme val="minor"/>
    </font>
    <font>
      <sz val="12"/>
      <color theme="1"/>
      <name val="Calibri"/>
      <family val="2"/>
    </font>
    <font>
      <b/>
      <sz val="20"/>
      <color theme="1"/>
      <name val="Calibri"/>
      <family val="2"/>
    </font>
    <font>
      <sz val="20"/>
      <color theme="1"/>
      <name val="Calibri"/>
      <family val="2"/>
      <scheme val="minor"/>
    </font>
    <font>
      <sz val="20"/>
      <color theme="1"/>
      <name val="Calibri"/>
      <family val="2"/>
    </font>
    <font>
      <sz val="20"/>
      <color theme="1"/>
      <name val="Times New Roman"/>
      <family val="1"/>
    </font>
    <font>
      <sz val="16"/>
      <color theme="1"/>
      <name val="Times New Roman"/>
      <family val="1"/>
    </font>
    <font>
      <b/>
      <sz val="20"/>
      <color theme="0"/>
      <name val="Calibri"/>
      <family val="2"/>
      <scheme val="minor"/>
    </font>
    <font>
      <b/>
      <sz val="14"/>
      <name val="Calibri"/>
      <family val="2"/>
    </font>
    <font>
      <b/>
      <sz val="18"/>
      <color indexed="9"/>
      <name val="Calibri"/>
      <family val="2"/>
      <scheme val="minor"/>
    </font>
    <font>
      <b/>
      <sz val="18"/>
      <color theme="0"/>
      <name val="Calibri"/>
      <family val="2"/>
      <scheme val="minor"/>
    </font>
    <font>
      <b/>
      <sz val="14"/>
      <name val="Calibri"/>
      <family val="2"/>
      <scheme val="minor"/>
    </font>
    <font>
      <sz val="14"/>
      <name val="Calibri"/>
      <family val="2"/>
      <scheme val="minor"/>
    </font>
    <font>
      <i/>
      <sz val="14"/>
      <color theme="1"/>
      <name val="Calibri"/>
      <family val="2"/>
      <scheme val="minor"/>
    </font>
    <font>
      <i/>
      <sz val="14"/>
      <color theme="8" tint="-0.249977111117893"/>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mediumGray">
        <bgColor theme="0"/>
      </patternFill>
    </fill>
    <fill>
      <patternFill patternType="solid">
        <fgColor rgb="FF7030A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rgb="FFFFFF00"/>
      </patternFill>
    </fill>
    <fill>
      <patternFill patternType="solid">
        <fgColor theme="4"/>
        <bgColor indexed="64"/>
      </patternFill>
    </fill>
    <fill>
      <patternFill patternType="solid">
        <fgColor rgb="FFFFFF00"/>
        <bgColor indexed="64"/>
      </patternFill>
    </fill>
  </fills>
  <borders count="22">
    <border>
      <left/>
      <right/>
      <top/>
      <bottom/>
      <diagonal/>
    </border>
    <border>
      <left/>
      <right/>
      <top/>
      <bottom style="medium">
        <color rgb="FF002060"/>
      </bottom>
      <diagonal/>
    </border>
    <border>
      <left/>
      <right/>
      <top style="thin">
        <color indexed="64"/>
      </top>
      <bottom/>
      <diagonal/>
    </border>
    <border>
      <left/>
      <right/>
      <top style="thin">
        <color rgb="FF002060"/>
      </top>
      <bottom style="medium">
        <color rgb="FF002060"/>
      </bottom>
      <diagonal/>
    </border>
    <border>
      <left/>
      <right/>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7">
    <xf numFmtId="0" fontId="0" fillId="0" borderId="0"/>
    <xf numFmtId="43" fontId="1" fillId="0" borderId="0"/>
    <xf numFmtId="9" fontId="1" fillId="0" borderId="0"/>
    <xf numFmtId="0" fontId="2" fillId="0" borderId="0"/>
    <xf numFmtId="9" fontId="2" fillId="0" borderId="0"/>
    <xf numFmtId="43" fontId="2" fillId="0" borderId="0"/>
    <xf numFmtId="9" fontId="13" fillId="0" borderId="0"/>
  </cellStyleXfs>
  <cellXfs count="171">
    <xf numFmtId="0" fontId="0" fillId="0" borderId="0" xfId="0"/>
    <xf numFmtId="0" fontId="3" fillId="2" borderId="0" xfId="3" applyFont="1" applyFill="1"/>
    <xf numFmtId="0" fontId="4" fillId="2" borderId="0" xfId="3" applyFont="1" applyFill="1"/>
    <xf numFmtId="0" fontId="5" fillId="2" borderId="0" xfId="3" applyFont="1" applyFill="1"/>
    <xf numFmtId="0" fontId="6" fillId="2" borderId="0" xfId="3" applyFont="1" applyFill="1"/>
    <xf numFmtId="164" fontId="7" fillId="2" borderId="0" xfId="3" applyNumberFormat="1" applyFont="1" applyFill="1"/>
    <xf numFmtId="164" fontId="8" fillId="2" borderId="0" xfId="3" applyNumberFormat="1" applyFont="1" applyFill="1"/>
    <xf numFmtId="164" fontId="7" fillId="2" borderId="1" xfId="3" applyNumberFormat="1" applyFont="1" applyFill="1" applyBorder="1"/>
    <xf numFmtId="164" fontId="7" fillId="2" borderId="1" xfId="3" applyNumberFormat="1" applyFont="1" applyFill="1" applyBorder="1" applyAlignment="1">
      <alignment horizontal="right" wrapText="1"/>
    </xf>
    <xf numFmtId="164" fontId="7" fillId="2" borderId="0" xfId="3" applyNumberFormat="1" applyFont="1" applyFill="1" applyAlignment="1">
      <alignment horizontal="right" wrapText="1"/>
    </xf>
    <xf numFmtId="164" fontId="7" fillId="3" borderId="1" xfId="3" applyNumberFormat="1" applyFont="1" applyFill="1" applyBorder="1" applyAlignment="1">
      <alignment horizontal="right" wrapText="1"/>
    </xf>
    <xf numFmtId="165" fontId="8" fillId="2" borderId="0" xfId="3" applyNumberFormat="1" applyFont="1" applyFill="1"/>
    <xf numFmtId="164" fontId="9" fillId="2" borderId="0" xfId="3" applyNumberFormat="1" applyFont="1" applyFill="1"/>
    <xf numFmtId="164" fontId="8" fillId="3" borderId="0" xfId="3" applyNumberFormat="1" applyFont="1" applyFill="1"/>
    <xf numFmtId="164" fontId="7" fillId="2" borderId="1" xfId="3" applyNumberFormat="1" applyFont="1" applyFill="1" applyBorder="1" applyAlignment="1">
      <alignment wrapText="1"/>
    </xf>
    <xf numFmtId="164" fontId="7" fillId="2" borderId="2" xfId="3" applyNumberFormat="1" applyFont="1" applyFill="1" applyBorder="1"/>
    <xf numFmtId="164" fontId="10" fillId="4" borderId="0" xfId="3" applyNumberFormat="1" applyFont="1" applyFill="1"/>
    <xf numFmtId="164" fontId="7" fillId="2" borderId="3" xfId="3" applyNumberFormat="1" applyFont="1" applyFill="1" applyBorder="1"/>
    <xf numFmtId="166" fontId="8" fillId="2" borderId="0" xfId="3" applyNumberFormat="1" applyFont="1" applyFill="1"/>
    <xf numFmtId="9" fontId="8" fillId="2" borderId="0" xfId="2" applyFont="1" applyFill="1"/>
    <xf numFmtId="167" fontId="8" fillId="2" borderId="0" xfId="1" applyNumberFormat="1" applyFont="1" applyFill="1"/>
    <xf numFmtId="164" fontId="12" fillId="2" borderId="0" xfId="3" applyNumberFormat="1" applyFont="1" applyFill="1"/>
    <xf numFmtId="164" fontId="7" fillId="2" borderId="7" xfId="3" applyNumberFormat="1" applyFont="1" applyFill="1" applyBorder="1"/>
    <xf numFmtId="0" fontId="14" fillId="0" borderId="0" xfId="0" applyFont="1"/>
    <xf numFmtId="164" fontId="12" fillId="2" borderId="7" xfId="3" applyNumberFormat="1" applyFont="1" applyFill="1" applyBorder="1"/>
    <xf numFmtId="164" fontId="8" fillId="7" borderId="0" xfId="3" applyNumberFormat="1" applyFont="1" applyFill="1"/>
    <xf numFmtId="164" fontId="8" fillId="8" borderId="0" xfId="3" applyNumberFormat="1" applyFont="1" applyFill="1"/>
    <xf numFmtId="164" fontId="8" fillId="9" borderId="0" xfId="3" applyNumberFormat="1" applyFont="1" applyFill="1"/>
    <xf numFmtId="1" fontId="8" fillId="7" borderId="0" xfId="1" applyNumberFormat="1" applyFont="1" applyFill="1" applyAlignment="1">
      <alignment horizontal="center"/>
    </xf>
    <xf numFmtId="1" fontId="8" fillId="8" borderId="0" xfId="1" applyNumberFormat="1" applyFont="1" applyFill="1" applyAlignment="1">
      <alignment horizontal="center"/>
    </xf>
    <xf numFmtId="1" fontId="8" fillId="9" borderId="0" xfId="1" applyNumberFormat="1" applyFont="1" applyFill="1" applyAlignment="1">
      <alignment horizontal="center"/>
    </xf>
    <xf numFmtId="170" fontId="8" fillId="3" borderId="0" xfId="2" applyNumberFormat="1" applyFont="1" applyFill="1"/>
    <xf numFmtId="10" fontId="8" fillId="2" borderId="0" xfId="2" applyNumberFormat="1" applyFont="1" applyFill="1"/>
    <xf numFmtId="171" fontId="8" fillId="2" borderId="0" xfId="3" applyNumberFormat="1" applyFont="1" applyFill="1"/>
    <xf numFmtId="171" fontId="8" fillId="3" borderId="0" xfId="3" applyNumberFormat="1" applyFont="1" applyFill="1"/>
    <xf numFmtId="171" fontId="8" fillId="2" borderId="0" xfId="4" applyNumberFormat="1" applyFont="1" applyFill="1"/>
    <xf numFmtId="171" fontId="8" fillId="3" borderId="0" xfId="4" applyNumberFormat="1" applyFont="1" applyFill="1"/>
    <xf numFmtId="171" fontId="8" fillId="5" borderId="0" xfId="3" applyNumberFormat="1" applyFont="1" applyFill="1"/>
    <xf numFmtId="171" fontId="11" fillId="2" borderId="0" xfId="3" applyNumberFormat="1" applyFont="1" applyFill="1"/>
    <xf numFmtId="172" fontId="9" fillId="2" borderId="0" xfId="4" applyNumberFormat="1" applyFont="1" applyFill="1"/>
    <xf numFmtId="171" fontId="7" fillId="2" borderId="0" xfId="3" applyNumberFormat="1" applyFont="1" applyFill="1"/>
    <xf numFmtId="171" fontId="7" fillId="3" borderId="0" xfId="3" applyNumberFormat="1" applyFont="1" applyFill="1"/>
    <xf numFmtId="174" fontId="14" fillId="0" borderId="0" xfId="0" applyNumberFormat="1" applyFont="1"/>
    <xf numFmtId="0" fontId="0" fillId="0" borderId="8" xfId="0" applyBorder="1"/>
    <xf numFmtId="0" fontId="15" fillId="10" borderId="8" xfId="0" applyFont="1" applyFill="1" applyBorder="1"/>
    <xf numFmtId="164" fontId="8" fillId="0" borderId="0" xfId="3" applyNumberFormat="1" applyFont="1"/>
    <xf numFmtId="164" fontId="8" fillId="2" borderId="8" xfId="3" applyNumberFormat="1" applyFont="1" applyFill="1" applyBorder="1"/>
    <xf numFmtId="172" fontId="8" fillId="2" borderId="8" xfId="2" applyNumberFormat="1" applyFont="1" applyFill="1" applyBorder="1"/>
    <xf numFmtId="164" fontId="8" fillId="2" borderId="9" xfId="3" applyNumberFormat="1" applyFont="1" applyFill="1" applyBorder="1"/>
    <xf numFmtId="164" fontId="12" fillId="10" borderId="8" xfId="3" applyNumberFormat="1" applyFont="1" applyFill="1" applyBorder="1" applyAlignment="1">
      <alignment horizontal="center"/>
    </xf>
    <xf numFmtId="164" fontId="12" fillId="10" borderId="9" xfId="3" applyNumberFormat="1" applyFont="1" applyFill="1" applyBorder="1" applyAlignment="1">
      <alignment horizontal="center"/>
    </xf>
    <xf numFmtId="164" fontId="8" fillId="7" borderId="8" xfId="3" applyNumberFormat="1" applyFont="1" applyFill="1" applyBorder="1"/>
    <xf numFmtId="164" fontId="8" fillId="8" borderId="8" xfId="3" applyNumberFormat="1" applyFont="1" applyFill="1" applyBorder="1"/>
    <xf numFmtId="164" fontId="8" fillId="9" borderId="8" xfId="3" applyNumberFormat="1" applyFont="1" applyFill="1" applyBorder="1"/>
    <xf numFmtId="164" fontId="17" fillId="2" borderId="8" xfId="3" applyNumberFormat="1" applyFont="1" applyFill="1" applyBorder="1"/>
    <xf numFmtId="164" fontId="17" fillId="0" borderId="8" xfId="3" applyNumberFormat="1" applyFont="1" applyBorder="1"/>
    <xf numFmtId="164" fontId="12" fillId="10" borderId="9" xfId="3" applyNumberFormat="1" applyFont="1" applyFill="1" applyBorder="1"/>
    <xf numFmtId="164" fontId="12" fillId="10" borderId="11" xfId="3" applyNumberFormat="1" applyFont="1" applyFill="1" applyBorder="1"/>
    <xf numFmtId="164" fontId="12" fillId="10" borderId="8" xfId="3" applyNumberFormat="1" applyFont="1" applyFill="1" applyBorder="1"/>
    <xf numFmtId="43" fontId="0" fillId="0" borderId="8" xfId="1" applyFont="1" applyBorder="1"/>
    <xf numFmtId="164" fontId="12" fillId="2" borderId="12" xfId="3" applyNumberFormat="1" applyFont="1" applyFill="1" applyBorder="1"/>
    <xf numFmtId="164" fontId="12" fillId="2" borderId="14" xfId="3" applyNumberFormat="1" applyFont="1" applyFill="1" applyBorder="1"/>
    <xf numFmtId="175" fontId="0" fillId="0" borderId="0" xfId="0" applyNumberFormat="1"/>
    <xf numFmtId="170" fontId="0" fillId="0" borderId="0" xfId="0" applyNumberFormat="1"/>
    <xf numFmtId="164" fontId="8" fillId="2" borderId="8" xfId="3" applyNumberFormat="1" applyFont="1" applyFill="1" applyBorder="1" applyAlignment="1">
      <alignment wrapText="1"/>
    </xf>
    <xf numFmtId="176" fontId="0" fillId="0" borderId="8" xfId="0" applyNumberFormat="1" applyBorder="1"/>
    <xf numFmtId="0" fontId="16" fillId="0" borderId="0" xfId="0" applyFont="1" applyAlignment="1">
      <alignment horizontal="center"/>
    </xf>
    <xf numFmtId="172" fontId="0" fillId="0" borderId="0" xfId="2" applyNumberFormat="1" applyFont="1" applyAlignment="1">
      <alignment horizontal="center"/>
    </xf>
    <xf numFmtId="170" fontId="8" fillId="2" borderId="0" xfId="2" applyNumberFormat="1" applyFont="1" applyFill="1"/>
    <xf numFmtId="164" fontId="9" fillId="3" borderId="0" xfId="3" applyNumberFormat="1" applyFont="1" applyFill="1"/>
    <xf numFmtId="168" fontId="1" fillId="0" borderId="0" xfId="2" applyNumberFormat="1"/>
    <xf numFmtId="170" fontId="8" fillId="3" borderId="0" xfId="1" applyNumberFormat="1" applyFont="1" applyFill="1"/>
    <xf numFmtId="170" fontId="9" fillId="3" borderId="0" xfId="2" applyNumberFormat="1" applyFont="1" applyFill="1"/>
    <xf numFmtId="170" fontId="7" fillId="2" borderId="2" xfId="2" applyNumberFormat="1" applyFont="1" applyFill="1" applyBorder="1"/>
    <xf numFmtId="170" fontId="7" fillId="3" borderId="2" xfId="2" applyNumberFormat="1" applyFont="1" applyFill="1" applyBorder="1"/>
    <xf numFmtId="164" fontId="7" fillId="3" borderId="2" xfId="3" applyNumberFormat="1" applyFont="1" applyFill="1" applyBorder="1"/>
    <xf numFmtId="164" fontId="8" fillId="2" borderId="0" xfId="1" applyNumberFormat="1" applyFont="1" applyFill="1"/>
    <xf numFmtId="164" fontId="8" fillId="3" borderId="0" xfId="1" applyNumberFormat="1" applyFont="1" applyFill="1"/>
    <xf numFmtId="164" fontId="7" fillId="3" borderId="3" xfId="3" applyNumberFormat="1" applyFont="1" applyFill="1" applyBorder="1"/>
    <xf numFmtId="164" fontId="7" fillId="3" borderId="7" xfId="3" applyNumberFormat="1" applyFont="1" applyFill="1" applyBorder="1"/>
    <xf numFmtId="170" fontId="8" fillId="7" borderId="8" xfId="2" applyNumberFormat="1" applyFont="1" applyFill="1" applyBorder="1" applyAlignment="1">
      <alignment horizontal="center"/>
    </xf>
    <xf numFmtId="170" fontId="8" fillId="8" borderId="8" xfId="2" applyNumberFormat="1" applyFont="1" applyFill="1" applyBorder="1" applyAlignment="1">
      <alignment horizontal="center"/>
    </xf>
    <xf numFmtId="170" fontId="8" fillId="9" borderId="8" xfId="2" applyNumberFormat="1" applyFont="1" applyFill="1" applyBorder="1" applyAlignment="1">
      <alignment horizontal="center"/>
    </xf>
    <xf numFmtId="177" fontId="8" fillId="2" borderId="0" xfId="1" applyNumberFormat="1" applyFont="1" applyFill="1"/>
    <xf numFmtId="170" fontId="17" fillId="2" borderId="8" xfId="2" applyNumberFormat="1" applyFont="1" applyFill="1" applyBorder="1" applyAlignment="1">
      <alignment horizontal="center"/>
    </xf>
    <xf numFmtId="170" fontId="8" fillId="2" borderId="8" xfId="2" applyNumberFormat="1" applyFont="1" applyFill="1" applyBorder="1"/>
    <xf numFmtId="164" fontId="17" fillId="0" borderId="8" xfId="2" applyNumberFormat="1" applyFont="1" applyBorder="1"/>
    <xf numFmtId="170" fontId="8" fillId="2" borderId="8" xfId="2" applyNumberFormat="1" applyFont="1" applyFill="1" applyBorder="1" applyAlignment="1">
      <alignment horizontal="center"/>
    </xf>
    <xf numFmtId="164" fontId="0" fillId="0" borderId="8" xfId="0" applyNumberFormat="1" applyBorder="1"/>
    <xf numFmtId="176" fontId="12" fillId="10" borderId="11" xfId="2" applyNumberFormat="1" applyFont="1" applyFill="1" applyBorder="1"/>
    <xf numFmtId="170" fontId="0" fillId="0" borderId="8" xfId="0" applyNumberFormat="1" applyBorder="1"/>
    <xf numFmtId="164" fontId="20" fillId="2" borderId="8" xfId="3" applyNumberFormat="1" applyFont="1" applyFill="1" applyBorder="1" applyAlignment="1">
      <alignment horizontal="center"/>
    </xf>
    <xf numFmtId="164" fontId="19" fillId="2" borderId="8" xfId="3" applyNumberFormat="1" applyFont="1" applyFill="1" applyBorder="1" applyAlignment="1">
      <alignment horizontal="center"/>
    </xf>
    <xf numFmtId="0" fontId="0" fillId="0" borderId="0" xfId="0" applyAlignment="1">
      <alignment wrapText="1"/>
    </xf>
    <xf numFmtId="0" fontId="14" fillId="0" borderId="8" xfId="0" applyFont="1" applyBorder="1"/>
    <xf numFmtId="170" fontId="0" fillId="0" borderId="8" xfId="2" applyNumberFormat="1" applyFont="1" applyBorder="1" applyAlignment="1">
      <alignment horizontal="center"/>
    </xf>
    <xf numFmtId="0" fontId="14" fillId="0" borderId="0" xfId="3" applyFont="1" applyAlignment="1">
      <alignment horizontal="left" indent="1"/>
    </xf>
    <xf numFmtId="0" fontId="14" fillId="0" borderId="0" xfId="3" applyFont="1" applyAlignment="1">
      <alignment horizontal="right" indent="1"/>
    </xf>
    <xf numFmtId="0" fontId="14" fillId="0" borderId="8" xfId="3" applyFont="1" applyBorder="1" applyAlignment="1">
      <alignment horizontal="right" indent="1"/>
    </xf>
    <xf numFmtId="0" fontId="27" fillId="11" borderId="8" xfId="3" applyFont="1" applyFill="1" applyBorder="1" applyAlignment="1">
      <alignment horizontal="left" indent="1"/>
    </xf>
    <xf numFmtId="14" fontId="0" fillId="0" borderId="8" xfId="0" applyNumberFormat="1" applyBorder="1"/>
    <xf numFmtId="43" fontId="0" fillId="0" borderId="8" xfId="0" applyNumberFormat="1" applyBorder="1"/>
    <xf numFmtId="4" fontId="0" fillId="0" borderId="8" xfId="0" applyNumberFormat="1" applyBorder="1"/>
    <xf numFmtId="0" fontId="28" fillId="11" borderId="8" xfId="3" applyFont="1" applyFill="1" applyBorder="1" applyAlignment="1">
      <alignment horizontal="left" indent="1"/>
    </xf>
    <xf numFmtId="170" fontId="28" fillId="0" borderId="8" xfId="6" applyNumberFormat="1" applyFont="1" applyBorder="1" applyAlignment="1">
      <alignment horizontal="right" indent="1"/>
    </xf>
    <xf numFmtId="170" fontId="28" fillId="0" borderId="8" xfId="3" applyNumberFormat="1" applyFont="1" applyBorder="1" applyAlignment="1">
      <alignment horizontal="right" indent="1"/>
    </xf>
    <xf numFmtId="172" fontId="28" fillId="0" borderId="8" xfId="3" applyNumberFormat="1" applyFont="1" applyBorder="1" applyAlignment="1">
      <alignment horizontal="right" indent="1"/>
    </xf>
    <xf numFmtId="173" fontId="28" fillId="0" borderId="8" xfId="2" applyNumberFormat="1" applyFont="1" applyBorder="1" applyAlignment="1">
      <alignment horizontal="right" indent="1"/>
    </xf>
    <xf numFmtId="170" fontId="27" fillId="0" borderId="8" xfId="3" applyNumberFormat="1" applyFont="1" applyBorder="1" applyAlignment="1">
      <alignment horizontal="right" indent="1"/>
    </xf>
    <xf numFmtId="0" fontId="15" fillId="0" borderId="0" xfId="0" applyFont="1"/>
    <xf numFmtId="0" fontId="29" fillId="0" borderId="0" xfId="0" applyFont="1"/>
    <xf numFmtId="0" fontId="15" fillId="0" borderId="4" xfId="0" applyFont="1" applyBorder="1"/>
    <xf numFmtId="17" fontId="15" fillId="0" borderId="4" xfId="0" applyNumberFormat="1" applyFont="1" applyBorder="1"/>
    <xf numFmtId="168" fontId="14" fillId="0" borderId="0" xfId="1" applyNumberFormat="1" applyFont="1"/>
    <xf numFmtId="0" fontId="14" fillId="0" borderId="6" xfId="0" applyFont="1" applyBorder="1"/>
    <xf numFmtId="168" fontId="14" fillId="0" borderId="6" xfId="1" applyNumberFormat="1" applyFont="1" applyBorder="1"/>
    <xf numFmtId="0" fontId="30" fillId="0" borderId="0" xfId="0" applyFont="1" applyAlignment="1">
      <alignment horizontal="center"/>
    </xf>
    <xf numFmtId="167" fontId="14" fillId="0" borderId="0" xfId="1" applyNumberFormat="1" applyFont="1"/>
    <xf numFmtId="0" fontId="29" fillId="0" borderId="6" xfId="0" applyFont="1" applyBorder="1"/>
    <xf numFmtId="168" fontId="29" fillId="0" borderId="6" xfId="0" applyNumberFormat="1" applyFont="1" applyBorder="1"/>
    <xf numFmtId="168" fontId="15" fillId="0" borderId="4" xfId="0" applyNumberFormat="1" applyFont="1" applyBorder="1"/>
    <xf numFmtId="0" fontId="15" fillId="0" borderId="6" xfId="0" applyFont="1" applyBorder="1"/>
    <xf numFmtId="168" fontId="15" fillId="0" borderId="6" xfId="0" applyNumberFormat="1" applyFont="1" applyBorder="1"/>
    <xf numFmtId="0" fontId="14" fillId="0" borderId="4" xfId="0" applyFont="1" applyBorder="1"/>
    <xf numFmtId="168" fontId="14" fillId="0" borderId="4" xfId="0" applyNumberFormat="1" applyFont="1" applyBorder="1"/>
    <xf numFmtId="0" fontId="14" fillId="0" borderId="7" xfId="0" applyFont="1" applyBorder="1"/>
    <xf numFmtId="168" fontId="14" fillId="0" borderId="7" xfId="0" applyNumberFormat="1" applyFont="1" applyBorder="1"/>
    <xf numFmtId="9" fontId="14" fillId="0" borderId="0" xfId="2" applyFont="1"/>
    <xf numFmtId="167" fontId="14" fillId="0" borderId="0" xfId="0" applyNumberFormat="1" applyFont="1"/>
    <xf numFmtId="167" fontId="15" fillId="0" borderId="0" xfId="1" applyNumberFormat="1" applyFont="1"/>
    <xf numFmtId="167" fontId="29" fillId="0" borderId="0" xfId="1" applyNumberFormat="1" applyFont="1"/>
    <xf numFmtId="0" fontId="15" fillId="0" borderId="5" xfId="0" applyFont="1" applyBorder="1"/>
    <xf numFmtId="168" fontId="15" fillId="0" borderId="5" xfId="1" applyNumberFormat="1" applyFont="1" applyBorder="1"/>
    <xf numFmtId="17" fontId="15" fillId="0" borderId="0" xfId="0" applyNumberFormat="1" applyFont="1"/>
    <xf numFmtId="168" fontId="15" fillId="0" borderId="0" xfId="1" applyNumberFormat="1" applyFont="1"/>
    <xf numFmtId="168" fontId="15" fillId="0" borderId="0" xfId="0" applyNumberFormat="1" applyFont="1"/>
    <xf numFmtId="168" fontId="29" fillId="0" borderId="0" xfId="1" applyNumberFormat="1" applyFont="1"/>
    <xf numFmtId="168" fontId="14" fillId="0" borderId="0" xfId="0" applyNumberFormat="1" applyFont="1"/>
    <xf numFmtId="169" fontId="14" fillId="0" borderId="0" xfId="0" applyNumberFormat="1" applyFont="1"/>
    <xf numFmtId="170" fontId="12" fillId="14" borderId="13" xfId="2" applyNumberFormat="1" applyFont="1" applyFill="1" applyBorder="1" applyAlignment="1">
      <alignment horizontal="center"/>
    </xf>
    <xf numFmtId="164" fontId="18" fillId="2" borderId="8" xfId="3" applyNumberFormat="1" applyFont="1" applyFill="1" applyBorder="1" applyAlignment="1">
      <alignment horizontal="center" vertical="center" textRotation="90"/>
    </xf>
    <xf numFmtId="0" fontId="0" fillId="0" borderId="16" xfId="0" applyBorder="1"/>
    <xf numFmtId="0" fontId="0" fillId="0" borderId="11" xfId="0" applyBorder="1"/>
    <xf numFmtId="164" fontId="10" fillId="6" borderId="8" xfId="3" applyNumberFormat="1" applyFont="1" applyFill="1" applyBorder="1" applyAlignment="1">
      <alignment horizontal="center" vertical="center" wrapText="1"/>
    </xf>
    <xf numFmtId="0" fontId="0" fillId="0" borderId="8" xfId="0" applyBorder="1" applyAlignment="1">
      <alignment vertical="top" wrapText="1"/>
    </xf>
    <xf numFmtId="0" fontId="0" fillId="0" borderId="10" xfId="0" applyBorder="1"/>
    <xf numFmtId="164" fontId="18" fillId="2" borderId="8" xfId="3" applyNumberFormat="1" applyFont="1" applyFill="1" applyBorder="1" applyAlignment="1">
      <alignment horizontal="center"/>
    </xf>
    <xf numFmtId="0" fontId="0" fillId="0" borderId="6" xfId="0" applyBorder="1"/>
    <xf numFmtId="0" fontId="22" fillId="0" borderId="0" xfId="0" applyFont="1" applyAlignment="1">
      <alignment horizontal="center"/>
    </xf>
    <xf numFmtId="0" fontId="0" fillId="0" borderId="0" xfId="0"/>
    <xf numFmtId="0" fontId="21" fillId="0" borderId="0" xfId="0" applyFont="1" applyAlignment="1">
      <alignment horizontal="center"/>
    </xf>
    <xf numFmtId="164" fontId="10" fillId="6" borderId="0" xfId="3" applyNumberFormat="1" applyFont="1" applyFill="1" applyAlignment="1">
      <alignment horizontal="right" vertical="center"/>
    </xf>
    <xf numFmtId="164" fontId="8" fillId="2" borderId="0" xfId="3" applyNumberFormat="1" applyFont="1" applyFill="1"/>
    <xf numFmtId="0" fontId="26" fillId="10" borderId="8" xfId="0" applyFont="1" applyFill="1" applyBorder="1" applyAlignment="1">
      <alignment horizontal="center" vertical="center"/>
    </xf>
    <xf numFmtId="0" fontId="26" fillId="0" borderId="8" xfId="0" applyFont="1" applyBorder="1" applyAlignment="1">
      <alignment horizontal="center" vertical="center"/>
    </xf>
    <xf numFmtId="0" fontId="25" fillId="10" borderId="8" xfId="3" applyFont="1" applyFill="1" applyBorder="1" applyAlignment="1">
      <alignment horizontal="center" vertical="center"/>
    </xf>
    <xf numFmtId="0" fontId="0" fillId="0" borderId="8" xfId="0" applyBorder="1"/>
    <xf numFmtId="0" fontId="28" fillId="2" borderId="19" xfId="3" applyFont="1" applyFill="1" applyBorder="1" applyAlignment="1">
      <alignment horizontal="left" indent="1"/>
    </xf>
    <xf numFmtId="0" fontId="28" fillId="2" borderId="10" xfId="3" applyFont="1" applyFill="1" applyBorder="1" applyAlignment="1">
      <alignment horizontal="left" indent="1"/>
    </xf>
    <xf numFmtId="0" fontId="28" fillId="2" borderId="20" xfId="3" applyFont="1" applyFill="1" applyBorder="1"/>
    <xf numFmtId="0" fontId="28" fillId="2" borderId="17" xfId="3" applyFont="1" applyFill="1" applyBorder="1"/>
    <xf numFmtId="0" fontId="28" fillId="2" borderId="21" xfId="3" applyFont="1" applyFill="1" applyBorder="1"/>
    <xf numFmtId="0" fontId="28" fillId="2" borderId="18" xfId="3" applyFont="1" applyFill="1" applyBorder="1"/>
    <xf numFmtId="0" fontId="28" fillId="2" borderId="19" xfId="3" applyFont="1" applyFill="1" applyBorder="1"/>
    <xf numFmtId="0" fontId="28" fillId="2" borderId="10" xfId="3" applyFont="1" applyFill="1" applyBorder="1"/>
    <xf numFmtId="0" fontId="16" fillId="11" borderId="8" xfId="0" applyFont="1" applyFill="1" applyBorder="1" applyAlignment="1">
      <alignment horizontal="center" vertical="center" wrapText="1"/>
    </xf>
    <xf numFmtId="0" fontId="16" fillId="11" borderId="8" xfId="0" applyFont="1" applyFill="1" applyBorder="1" applyAlignment="1">
      <alignment vertical="center"/>
    </xf>
    <xf numFmtId="0" fontId="16" fillId="11" borderId="8" xfId="0" applyFont="1" applyFill="1" applyBorder="1" applyAlignment="1">
      <alignment horizontal="center" vertical="center"/>
    </xf>
    <xf numFmtId="0" fontId="23" fillId="13" borderId="0" xfId="0" applyFont="1" applyFill="1"/>
    <xf numFmtId="1" fontId="24" fillId="12" borderId="0" xfId="3" applyNumberFormat="1" applyFont="1" applyFill="1" applyAlignment="1" applyProtection="1">
      <alignment horizontal="center"/>
      <protection locked="0"/>
    </xf>
    <xf numFmtId="1" fontId="12" fillId="12" borderId="15" xfId="3" applyNumberFormat="1" applyFont="1" applyFill="1" applyBorder="1" applyAlignment="1" applyProtection="1">
      <alignment horizontal="center"/>
      <protection locked="0"/>
    </xf>
  </cellXfs>
  <cellStyles count="7">
    <cellStyle name="Comma" xfId="1" builtinId="3"/>
    <cellStyle name="Comma 2" xfId="5" xr:uid="{00000000-0005-0000-0000-000005000000}"/>
    <cellStyle name="Normal" xfId="0" builtinId="0"/>
    <cellStyle name="Normal 2" xfId="3" xr:uid="{00000000-0005-0000-0000-000003000000}"/>
    <cellStyle name="Per cent" xfId="2" builtinId="5"/>
    <cellStyle name="Per cent 2" xfId="4" xr:uid="{00000000-0005-0000-0000-000004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showGridLines="0" workbookViewId="0">
      <selection activeCell="F11" sqref="F11"/>
    </sheetView>
  </sheetViews>
  <sheetFormatPr defaultRowHeight="15.5" x14ac:dyDescent="0.35"/>
  <sheetData>
    <row r="1" spans="1:26" ht="26.25" customHeight="1" x14ac:dyDescent="0.55000000000000004">
      <c r="A1" s="150" t="s">
        <v>24</v>
      </c>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26" ht="20.25" customHeight="1" x14ac:dyDescent="0.45">
      <c r="A2" s="148" t="s">
        <v>25</v>
      </c>
      <c r="B2" s="149"/>
      <c r="C2" s="149"/>
      <c r="D2" s="149"/>
      <c r="E2" s="149"/>
      <c r="F2" s="149"/>
      <c r="G2" s="149"/>
      <c r="H2" s="149"/>
      <c r="I2" s="149"/>
      <c r="J2" s="149"/>
      <c r="K2" s="149"/>
      <c r="L2" s="149"/>
      <c r="M2" s="149"/>
      <c r="N2" s="149"/>
      <c r="O2" s="149"/>
      <c r="P2" s="149"/>
      <c r="Q2" s="149"/>
      <c r="R2" s="149"/>
      <c r="S2" s="149"/>
      <c r="T2" s="149"/>
      <c r="U2" s="149"/>
      <c r="V2" s="149"/>
      <c r="W2" s="149"/>
      <c r="X2" s="149"/>
      <c r="Y2" s="149"/>
      <c r="Z2" s="149"/>
    </row>
    <row r="3" spans="1:26" ht="20.25" customHeight="1" x14ac:dyDescent="0.45">
      <c r="A3" s="148" t="s">
        <v>26</v>
      </c>
      <c r="B3" s="149"/>
      <c r="C3" s="149"/>
      <c r="D3" s="149"/>
      <c r="E3" s="149"/>
      <c r="F3" s="149"/>
      <c r="G3" s="149"/>
      <c r="H3" s="149"/>
      <c r="I3" s="149"/>
      <c r="J3" s="149"/>
      <c r="K3" s="149"/>
      <c r="L3" s="149"/>
      <c r="M3" s="149"/>
      <c r="N3" s="149"/>
      <c r="O3" s="149"/>
      <c r="P3" s="149"/>
      <c r="Q3" s="149"/>
      <c r="R3" s="149"/>
      <c r="S3" s="149"/>
      <c r="T3" s="149"/>
      <c r="U3" s="149"/>
      <c r="V3" s="149"/>
      <c r="W3" s="149"/>
      <c r="X3" s="149"/>
      <c r="Y3" s="149"/>
      <c r="Z3" s="149"/>
    </row>
    <row r="4" spans="1:26" ht="20.25" customHeight="1" x14ac:dyDescent="0.45">
      <c r="A4" s="148" t="s">
        <v>27</v>
      </c>
      <c r="B4" s="149"/>
      <c r="C4" s="149"/>
      <c r="D4" s="149"/>
      <c r="E4" s="149"/>
      <c r="F4" s="149"/>
      <c r="G4" s="149"/>
      <c r="H4" s="149"/>
      <c r="I4" s="149"/>
      <c r="J4" s="149"/>
      <c r="K4" s="149"/>
      <c r="L4" s="149"/>
      <c r="M4" s="149"/>
      <c r="N4" s="149"/>
      <c r="O4" s="149"/>
      <c r="P4" s="149"/>
      <c r="Q4" s="149"/>
      <c r="R4" s="149"/>
      <c r="S4" s="149"/>
      <c r="T4" s="149"/>
      <c r="U4" s="149"/>
      <c r="V4" s="149"/>
      <c r="W4" s="149"/>
      <c r="X4" s="149"/>
      <c r="Y4" s="149"/>
      <c r="Z4" s="149"/>
    </row>
    <row r="5" spans="1:26" ht="20.25" customHeight="1" x14ac:dyDescent="0.45">
      <c r="A5" s="148" t="s">
        <v>28</v>
      </c>
      <c r="B5" s="149"/>
      <c r="C5" s="149"/>
      <c r="D5" s="149"/>
      <c r="E5" s="149"/>
      <c r="F5" s="149"/>
      <c r="G5" s="149"/>
      <c r="H5" s="149"/>
      <c r="I5" s="149"/>
      <c r="J5" s="149"/>
      <c r="K5" s="149"/>
      <c r="L5" s="149"/>
      <c r="M5" s="149"/>
      <c r="N5" s="149"/>
      <c r="O5" s="149"/>
      <c r="P5" s="149"/>
      <c r="Q5" s="149"/>
      <c r="R5" s="149"/>
      <c r="S5" s="149"/>
      <c r="T5" s="149"/>
      <c r="U5" s="149"/>
      <c r="V5" s="149"/>
      <c r="W5" s="149"/>
      <c r="X5" s="149"/>
      <c r="Y5" s="149"/>
      <c r="Z5" s="149"/>
    </row>
    <row r="6" spans="1:26" ht="20.25" customHeight="1" x14ac:dyDescent="0.45">
      <c r="A6" s="148" t="s">
        <v>29</v>
      </c>
      <c r="B6" s="149"/>
      <c r="C6" s="149"/>
      <c r="D6" s="149"/>
      <c r="E6" s="149"/>
      <c r="F6" s="149"/>
      <c r="G6" s="149"/>
      <c r="H6" s="149"/>
      <c r="I6" s="149"/>
      <c r="J6" s="149"/>
      <c r="K6" s="149"/>
      <c r="L6" s="149"/>
      <c r="M6" s="149"/>
      <c r="N6" s="149"/>
      <c r="O6" s="149"/>
      <c r="P6" s="149"/>
      <c r="Q6" s="149"/>
      <c r="R6" s="149"/>
      <c r="S6" s="149"/>
      <c r="T6" s="149"/>
      <c r="U6" s="149"/>
      <c r="V6" s="149"/>
      <c r="W6" s="149"/>
      <c r="X6" s="149"/>
      <c r="Y6" s="149"/>
      <c r="Z6" s="149"/>
    </row>
  </sheetData>
  <sheetProtection algorithmName="SHA-512" hashValue="0YWGAfJMmk7Ih+DPg0+YNq3zMUkfswGgUhc67MHro1QefJnd3PlTGUYEJbQrgg68UEZET8gYFTjD5liI0qOxhQ==" saltValue="piaMIoj9Ws4BfwtyT00T+A==" spinCount="100000" sheet="1" objects="1" scenarios="1"/>
  <mergeCells count="6">
    <mergeCell ref="A5:Z5"/>
    <mergeCell ref="A1:Z1"/>
    <mergeCell ref="A3:Z3"/>
    <mergeCell ref="A6:Z6"/>
    <mergeCell ref="A4:Z4"/>
    <mergeCell ref="A2:Z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B1:B11"/>
  <sheetViews>
    <sheetView showGridLines="0" workbookViewId="0">
      <selection activeCell="E2" sqref="E2"/>
    </sheetView>
  </sheetViews>
  <sheetFormatPr defaultColWidth="9.08203125" defaultRowHeight="11.5" x14ac:dyDescent="0.25"/>
  <cols>
    <col min="1" max="1" width="2" style="2" customWidth="1"/>
    <col min="2" max="4" width="9.08203125" style="2" customWidth="1"/>
    <col min="5" max="16384" width="9.08203125" style="2"/>
  </cols>
  <sheetData>
    <row r="1" spans="2:2" ht="15.75" customHeight="1" x14ac:dyDescent="0.35">
      <c r="B1" s="1"/>
    </row>
    <row r="11" spans="2:2" ht="51" customHeight="1" x14ac:dyDescent="1.1000000000000001">
      <c r="B11" s="4" t="s">
        <v>30</v>
      </c>
    </row>
  </sheetData>
  <sheetProtection algorithmName="SHA-512" hashValue="HhorZVXBeqMLuqYRoEuE3EHy/oQX7yBwaJeimoaz6JdYc7aXaJqtSldD/5XrsLjkscrQJ2FG9luL2hdKNWZVSQ==" saltValue="iCkcewPahfwfh2/hcsT66g==" spinCount="100000" sheet="1" objects="1" scenarios="1"/>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40"/>
  <sheetViews>
    <sheetView showGridLines="0" tabSelected="1" zoomScale="90" zoomScaleNormal="90" workbookViewId="0">
      <pane ySplit="6" topLeftCell="A7" activePane="bottomLeft" state="frozen"/>
      <selection pane="bottomLeft" activeCell="C5" sqref="C5"/>
    </sheetView>
  </sheetViews>
  <sheetFormatPr defaultColWidth="9.08203125" defaultRowHeight="18.5" x14ac:dyDescent="0.45"/>
  <cols>
    <col min="1" max="1" width="2" style="6" customWidth="1"/>
    <col min="2" max="2" width="42.83203125" style="6" customWidth="1"/>
    <col min="3" max="3" width="15.25" style="6" bestFit="1" customWidth="1"/>
    <col min="4" max="5" width="14.58203125" style="6" customWidth="1"/>
    <col min="6" max="6" width="15.25" style="6" bestFit="1" customWidth="1"/>
    <col min="7" max="7" width="16.33203125" style="6" bestFit="1" customWidth="1"/>
    <col min="8" max="8" width="1.5" style="6" customWidth="1"/>
    <col min="9" max="10" width="15.25" style="6" bestFit="1" customWidth="1"/>
    <col min="11" max="13" width="16" style="6" bestFit="1" customWidth="1"/>
    <col min="14" max="14" width="9.08203125" style="6" customWidth="1"/>
    <col min="15" max="15" width="22.08203125" style="6" bestFit="1" customWidth="1"/>
    <col min="16" max="18" width="9.08203125" style="6" customWidth="1"/>
    <col min="19" max="16384" width="9.08203125" style="6"/>
  </cols>
  <sheetData>
    <row r="1" spans="2:16" ht="18" customHeight="1" x14ac:dyDescent="0.45">
      <c r="B1" s="5" t="s">
        <v>0</v>
      </c>
    </row>
    <row r="2" spans="2:16" ht="18" customHeight="1" x14ac:dyDescent="0.45">
      <c r="B2" s="5"/>
      <c r="G2" s="151" t="s">
        <v>1</v>
      </c>
      <c r="I2" s="25" t="s">
        <v>2</v>
      </c>
      <c r="J2" s="28">
        <v>1</v>
      </c>
    </row>
    <row r="3" spans="2:16" ht="18" customHeight="1" x14ac:dyDescent="0.45">
      <c r="G3" s="152"/>
      <c r="I3" s="26" t="s">
        <v>3</v>
      </c>
      <c r="J3" s="29">
        <v>2</v>
      </c>
    </row>
    <row r="4" spans="2:16" ht="18" customHeight="1" x14ac:dyDescent="0.45">
      <c r="B4" s="5" t="s">
        <v>4</v>
      </c>
      <c r="C4" s="169">
        <v>2</v>
      </c>
      <c r="G4" s="152"/>
      <c r="I4" s="27" t="s">
        <v>5</v>
      </c>
      <c r="J4" s="30">
        <v>3</v>
      </c>
    </row>
    <row r="6" spans="2:16" ht="38.25" customHeight="1" thickBot="1" x14ac:dyDescent="0.5">
      <c r="B6" s="7" t="s">
        <v>6</v>
      </c>
      <c r="C6" s="8" t="s">
        <v>7</v>
      </c>
      <c r="D6" s="8" t="s">
        <v>8</v>
      </c>
      <c r="E6" s="8" t="s">
        <v>9</v>
      </c>
      <c r="F6" s="8" t="s">
        <v>10</v>
      </c>
      <c r="G6" s="8" t="s">
        <v>11</v>
      </c>
      <c r="H6" s="8"/>
      <c r="I6" s="10" t="s">
        <v>12</v>
      </c>
      <c r="J6" s="10" t="s">
        <v>13</v>
      </c>
      <c r="K6" s="10" t="s">
        <v>14</v>
      </c>
      <c r="L6" s="10" t="s">
        <v>15</v>
      </c>
      <c r="M6" s="10" t="s">
        <v>16</v>
      </c>
    </row>
    <row r="7" spans="2:16" x14ac:dyDescent="0.45">
      <c r="B7" s="6" t="s">
        <v>17</v>
      </c>
      <c r="C7" s="6">
        <f>'P&amp;L Source'!C9</f>
        <v>98548.4</v>
      </c>
      <c r="D7" s="6">
        <f>'P&amp;L Source'!D9</f>
        <v>81753.099999999991</v>
      </c>
      <c r="E7" s="6">
        <f>'P&amp;L Source'!E9</f>
        <v>91413.4</v>
      </c>
      <c r="F7" s="6">
        <f>'P&amp;L Source'!F9</f>
        <v>100096</v>
      </c>
      <c r="G7" s="6">
        <f>'P&amp;L Source'!G9</f>
        <v>112922.7</v>
      </c>
      <c r="H7" s="33"/>
      <c r="I7" s="13">
        <f>G7*(I8+1)</f>
        <v>124211.58231899998</v>
      </c>
      <c r="J7" s="13">
        <f>I7*(J8+1)</f>
        <v>136629.01420343039</v>
      </c>
      <c r="K7" s="13">
        <f>J7*(K8+1)</f>
        <v>150287.81675334732</v>
      </c>
      <c r="L7" s="13">
        <f>K7*(L8+1)</f>
        <v>165312.08979417942</v>
      </c>
      <c r="M7" s="13">
        <f>L7*(M8+1)</f>
        <v>181838.33941090351</v>
      </c>
      <c r="P7" s="9"/>
    </row>
    <row r="8" spans="2:16" x14ac:dyDescent="0.45">
      <c r="B8" s="12" t="s">
        <v>18</v>
      </c>
      <c r="C8" s="32"/>
      <c r="D8" s="68">
        <f>D7/C7-1</f>
        <v>-0.17042691712904523</v>
      </c>
      <c r="E8" s="68">
        <f>E7/D7-1</f>
        <v>0.11816432649037156</v>
      </c>
      <c r="F8" s="68">
        <f>F7/E7-1</f>
        <v>9.4981698525599123E-2</v>
      </c>
      <c r="G8" s="68">
        <f>G7/F7-1</f>
        <v>0.12814398177749364</v>
      </c>
      <c r="H8" s="35"/>
      <c r="I8" s="31">
        <f>CHOOSE($C$4,I10,I11,I12)</f>
        <v>9.9970000000000003E-2</v>
      </c>
      <c r="J8" s="31">
        <f>CHOOSE($C$4,J10,J11,J12)</f>
        <v>9.9970000000000003E-2</v>
      </c>
      <c r="K8" s="31">
        <f>CHOOSE($C$4,K10,K11,K12)</f>
        <v>9.9970000000000003E-2</v>
      </c>
      <c r="L8" s="31">
        <f>CHOOSE($C$4,L10,L11,L12)</f>
        <v>9.9970000000000003E-2</v>
      </c>
      <c r="M8" s="31">
        <f>CHOOSE($C$4,M10,M11,M12)</f>
        <v>9.9970000000000003E-2</v>
      </c>
    </row>
    <row r="9" spans="2:16" x14ac:dyDescent="0.45">
      <c r="C9" s="33"/>
      <c r="D9" s="33"/>
      <c r="E9" s="33"/>
      <c r="F9" s="33"/>
      <c r="G9" s="33"/>
      <c r="H9" s="33"/>
      <c r="I9" s="36"/>
      <c r="J9" s="36"/>
      <c r="K9" s="36"/>
      <c r="L9" s="36"/>
      <c r="M9" s="36"/>
    </row>
    <row r="10" spans="2:16" x14ac:dyDescent="0.45">
      <c r="C10" s="37"/>
      <c r="D10" s="37"/>
      <c r="E10" s="37"/>
      <c r="F10" s="37"/>
      <c r="G10" s="37"/>
      <c r="H10" s="38"/>
      <c r="I10" s="31">
        <v>0.12</v>
      </c>
      <c r="J10" s="31">
        <v>0.12</v>
      </c>
      <c r="K10" s="31">
        <v>0.12</v>
      </c>
      <c r="L10" s="31">
        <v>0.12</v>
      </c>
      <c r="M10" s="31">
        <v>0.12</v>
      </c>
    </row>
    <row r="11" spans="2:16" x14ac:dyDescent="0.45">
      <c r="C11" s="37"/>
      <c r="D11" s="37"/>
      <c r="E11" s="37"/>
      <c r="F11" s="37"/>
      <c r="G11" s="37"/>
      <c r="H11" s="38"/>
      <c r="I11" s="31">
        <v>9.9970000000000003E-2</v>
      </c>
      <c r="J11" s="31">
        <v>9.9970000000000003E-2</v>
      </c>
      <c r="K11" s="31">
        <v>9.9970000000000003E-2</v>
      </c>
      <c r="L11" s="31">
        <v>9.9970000000000003E-2</v>
      </c>
      <c r="M11" s="31">
        <v>9.9970000000000003E-2</v>
      </c>
    </row>
    <row r="12" spans="2:16" x14ac:dyDescent="0.45">
      <c r="C12" s="37"/>
      <c r="D12" s="37"/>
      <c r="E12" s="37"/>
      <c r="F12" s="37"/>
      <c r="G12" s="37"/>
      <c r="H12" s="38"/>
      <c r="I12" s="31">
        <v>0.05</v>
      </c>
      <c r="J12" s="31">
        <v>0.05</v>
      </c>
      <c r="K12" s="31">
        <v>0.05</v>
      </c>
      <c r="L12" s="31">
        <v>0.05</v>
      </c>
      <c r="M12" s="31">
        <v>0.05</v>
      </c>
    </row>
    <row r="13" spans="2:16" x14ac:dyDescent="0.45">
      <c r="C13" s="33"/>
      <c r="D13" s="33"/>
      <c r="E13" s="33"/>
      <c r="F13" s="33"/>
      <c r="G13" s="33"/>
      <c r="H13" s="33"/>
      <c r="I13" s="34"/>
      <c r="J13" s="34"/>
      <c r="K13" s="34"/>
      <c r="L13" s="34"/>
      <c r="M13" s="34"/>
    </row>
    <row r="14" spans="2:16" x14ac:dyDescent="0.45">
      <c r="B14" s="6" t="s">
        <v>19</v>
      </c>
      <c r="C14" s="6">
        <f>'P&amp;L Source'!C11</f>
        <v>-45239.6</v>
      </c>
      <c r="D14" s="6">
        <f>'P&amp;L Source'!D11</f>
        <v>-34689.099999999991</v>
      </c>
      <c r="E14" s="6">
        <f>'P&amp;L Source'!E11</f>
        <v>-38828.100000000006</v>
      </c>
      <c r="F14" s="6">
        <f>'P&amp;L Source'!F11</f>
        <v>-43268</v>
      </c>
      <c r="G14" s="6">
        <f>'P&amp;L Source'!G11</f>
        <v>-45902.3</v>
      </c>
      <c r="H14" s="33"/>
      <c r="I14" s="13">
        <f>-(I$7*I15)</f>
        <v>-52293.076156298986</v>
      </c>
      <c r="J14" s="13">
        <f>-(J$7*J15)</f>
        <v>-57520.814979644194</v>
      </c>
      <c r="K14" s="13">
        <f>-(K$7*K15)</f>
        <v>-63271.170853159216</v>
      </c>
      <c r="L14" s="13">
        <f>-(L$7*L15)</f>
        <v>-69596.389803349535</v>
      </c>
      <c r="M14" s="13">
        <f>-(M$7*M15)</f>
        <v>-76553.94089199038</v>
      </c>
    </row>
    <row r="15" spans="2:16" x14ac:dyDescent="0.45">
      <c r="B15" s="6" t="s">
        <v>20</v>
      </c>
      <c r="C15" s="68">
        <f>-(C14/C7)</f>
        <v>0.45905971076141266</v>
      </c>
      <c r="D15" s="68">
        <f>-(D14/D7)</f>
        <v>0.42431540822305203</v>
      </c>
      <c r="E15" s="68">
        <f>-(E14/E7)</f>
        <v>0.42475282617209303</v>
      </c>
      <c r="F15" s="68">
        <f>-(F14/F7)</f>
        <v>0.43226502557544755</v>
      </c>
      <c r="G15" s="68">
        <f>-(G14/G7)</f>
        <v>0.40649311431625357</v>
      </c>
      <c r="H15" s="33"/>
      <c r="I15" s="31">
        <f>CHOOSE($C$4,I17,I18,I19)</f>
        <v>0.42099999999999999</v>
      </c>
      <c r="J15" s="31">
        <f>CHOOSE($C$4,J17,J18,J19)</f>
        <v>0.42099999999999999</v>
      </c>
      <c r="K15" s="31">
        <f>CHOOSE($C$4,K17,K18,K19)</f>
        <v>0.42099999999999999</v>
      </c>
      <c r="L15" s="31">
        <f>CHOOSE($C$4,L17,L18,L19)</f>
        <v>0.42099999999999999</v>
      </c>
      <c r="M15" s="31">
        <f>CHOOSE($C$4,M17,M18,M19)</f>
        <v>0.42099999999999999</v>
      </c>
    </row>
    <row r="16" spans="2:16" x14ac:dyDescent="0.45">
      <c r="C16" s="33"/>
      <c r="D16" s="33"/>
      <c r="E16" s="33"/>
      <c r="F16" s="33"/>
      <c r="G16" s="33"/>
      <c r="H16" s="33"/>
      <c r="I16" s="36"/>
      <c r="J16" s="36"/>
      <c r="K16" s="36"/>
      <c r="L16" s="36"/>
      <c r="M16" s="36"/>
    </row>
    <row r="17" spans="2:13" x14ac:dyDescent="0.45">
      <c r="C17" s="37"/>
      <c r="D17" s="37"/>
      <c r="E17" s="37"/>
      <c r="F17" s="37"/>
      <c r="G17" s="37"/>
      <c r="H17" s="33"/>
      <c r="I17" s="31">
        <v>0.41</v>
      </c>
      <c r="J17" s="31">
        <v>0.41</v>
      </c>
      <c r="K17" s="31">
        <v>0.41</v>
      </c>
      <c r="L17" s="31">
        <v>0.41</v>
      </c>
      <c r="M17" s="31">
        <v>0.41</v>
      </c>
    </row>
    <row r="18" spans="2:13" x14ac:dyDescent="0.45">
      <c r="C18" s="37"/>
      <c r="D18" s="37"/>
      <c r="E18" s="37"/>
      <c r="F18" s="37"/>
      <c r="G18" s="37"/>
      <c r="H18" s="33"/>
      <c r="I18" s="31">
        <v>0.42099999999999999</v>
      </c>
      <c r="J18" s="31">
        <v>0.42099999999999999</v>
      </c>
      <c r="K18" s="31">
        <v>0.42099999999999999</v>
      </c>
      <c r="L18" s="31">
        <v>0.42099999999999999</v>
      </c>
      <c r="M18" s="31">
        <v>0.42099999999999999</v>
      </c>
    </row>
    <row r="19" spans="2:13" x14ac:dyDescent="0.45">
      <c r="C19" s="37"/>
      <c r="D19" s="37"/>
      <c r="E19" s="37"/>
      <c r="F19" s="37"/>
      <c r="G19" s="37"/>
      <c r="H19" s="33"/>
      <c r="I19" s="31">
        <v>0.45</v>
      </c>
      <c r="J19" s="31">
        <v>0.45</v>
      </c>
      <c r="K19" s="31">
        <v>0.45</v>
      </c>
      <c r="L19" s="31">
        <v>0.45</v>
      </c>
      <c r="M19" s="31">
        <v>0.45</v>
      </c>
    </row>
    <row r="20" spans="2:13" x14ac:dyDescent="0.45">
      <c r="C20" s="33"/>
      <c r="D20" s="33"/>
      <c r="E20" s="33"/>
      <c r="F20" s="33"/>
      <c r="G20" s="33"/>
      <c r="H20" s="33"/>
      <c r="I20" s="36"/>
      <c r="J20" s="36"/>
      <c r="K20" s="36"/>
      <c r="L20" s="36"/>
      <c r="M20" s="36"/>
    </row>
    <row r="21" spans="2:13" x14ac:dyDescent="0.45">
      <c r="B21" s="6" t="s">
        <v>21</v>
      </c>
      <c r="C21" s="6">
        <f>'P&amp;L Source'!C12</f>
        <v>-31926.799999999999</v>
      </c>
      <c r="D21" s="6">
        <f>'P&amp;L Source'!D12</f>
        <v>-29971.699999999997</v>
      </c>
      <c r="E21" s="6">
        <f>'P&amp;L Source'!E12</f>
        <v>-33655</v>
      </c>
      <c r="F21" s="6">
        <f>'P&amp;L Source'!F12</f>
        <v>-35221.199999999997</v>
      </c>
      <c r="G21" s="6">
        <f>'P&amp;L Source'!G12</f>
        <v>-40459.4</v>
      </c>
      <c r="H21" s="33"/>
      <c r="I21" s="13">
        <f>-(I$7*I22)</f>
        <v>-43138.68253938869</v>
      </c>
      <c r="J21" s="13">
        <f>-(J$7*J22)</f>
        <v>-47451.256632851371</v>
      </c>
      <c r="K21" s="13">
        <f>-(K$7*K22)</f>
        <v>-52194.958758437526</v>
      </c>
      <c r="L21" s="13">
        <f>-(L$7*L22)</f>
        <v>-57412.888785518517</v>
      </c>
      <c r="M21" s="13">
        <f>-(M$7*M22)</f>
        <v>-63152.455277406792</v>
      </c>
    </row>
    <row r="22" spans="2:13" x14ac:dyDescent="0.45">
      <c r="B22" s="6" t="s">
        <v>20</v>
      </c>
      <c r="C22" s="68">
        <f>-(C21/C7)</f>
        <v>0.32397075954556342</v>
      </c>
      <c r="D22" s="68">
        <f>-(D21/D7)</f>
        <v>0.36661239757269143</v>
      </c>
      <c r="E22" s="68">
        <f>-(E21/E7)</f>
        <v>0.36816265449047952</v>
      </c>
      <c r="F22" s="68">
        <f>-(F21/F7)</f>
        <v>0.35187420076726339</v>
      </c>
      <c r="G22" s="68">
        <f>-(G21/G7)</f>
        <v>0.35829288531003955</v>
      </c>
      <c r="H22" s="33"/>
      <c r="I22" s="31">
        <f>CHOOSE($C$4,I24,I25,I26)</f>
        <v>0.3473</v>
      </c>
      <c r="J22" s="31">
        <f>CHOOSE($C$4,J24,J25,J26)</f>
        <v>0.3473</v>
      </c>
      <c r="K22" s="31">
        <f>CHOOSE($C$4,K24,K25,K26)</f>
        <v>0.3473</v>
      </c>
      <c r="L22" s="31">
        <f>CHOOSE($C$4,L24,L25,L26)</f>
        <v>0.3473</v>
      </c>
      <c r="M22" s="31">
        <f>CHOOSE($C$4,M24,M25,M26)</f>
        <v>0.3473</v>
      </c>
    </row>
    <row r="23" spans="2:13" x14ac:dyDescent="0.45">
      <c r="C23" s="33"/>
      <c r="D23" s="33"/>
      <c r="E23" s="33"/>
      <c r="F23" s="33"/>
      <c r="G23" s="33"/>
      <c r="H23" s="33"/>
      <c r="I23" s="36"/>
      <c r="J23" s="36"/>
      <c r="K23" s="36"/>
      <c r="L23" s="36"/>
      <c r="M23" s="36"/>
    </row>
    <row r="24" spans="2:13" x14ac:dyDescent="0.45">
      <c r="C24" s="37"/>
      <c r="D24" s="37"/>
      <c r="E24" s="37"/>
      <c r="F24" s="37"/>
      <c r="G24" s="37"/>
      <c r="H24" s="33"/>
      <c r="I24" s="31">
        <v>0.32</v>
      </c>
      <c r="J24" s="31">
        <v>0.32</v>
      </c>
      <c r="K24" s="31">
        <v>0.32</v>
      </c>
      <c r="L24" s="31">
        <v>0.32</v>
      </c>
      <c r="M24" s="31">
        <v>0.32</v>
      </c>
    </row>
    <row r="25" spans="2:13" x14ac:dyDescent="0.45">
      <c r="C25" s="37"/>
      <c r="D25" s="37"/>
      <c r="E25" s="37"/>
      <c r="F25" s="37"/>
      <c r="G25" s="37"/>
      <c r="H25" s="33"/>
      <c r="I25" s="31">
        <v>0.3473</v>
      </c>
      <c r="J25" s="31">
        <v>0.3473</v>
      </c>
      <c r="K25" s="31">
        <v>0.3473</v>
      </c>
      <c r="L25" s="31">
        <v>0.3473</v>
      </c>
      <c r="M25" s="31">
        <v>0.3473</v>
      </c>
    </row>
    <row r="26" spans="2:13" x14ac:dyDescent="0.45">
      <c r="C26" s="37"/>
      <c r="D26" s="37"/>
      <c r="E26" s="37"/>
      <c r="F26" s="37"/>
      <c r="G26" s="37"/>
      <c r="H26" s="33"/>
      <c r="I26" s="31">
        <v>0.36</v>
      </c>
      <c r="J26" s="31">
        <v>0.36</v>
      </c>
      <c r="K26" s="31">
        <v>0.36</v>
      </c>
      <c r="L26" s="31">
        <v>0.36</v>
      </c>
      <c r="M26" s="31">
        <v>0.36</v>
      </c>
    </row>
    <row r="27" spans="2:13" x14ac:dyDescent="0.45">
      <c r="C27" s="33"/>
      <c r="D27" s="33"/>
      <c r="E27" s="33"/>
      <c r="F27" s="33"/>
      <c r="G27" s="33"/>
      <c r="H27" s="33"/>
      <c r="I27" s="36"/>
      <c r="J27" s="36"/>
      <c r="K27" s="36"/>
      <c r="L27" s="36"/>
      <c r="M27" s="36"/>
    </row>
    <row r="28" spans="2:13" x14ac:dyDescent="0.45">
      <c r="B28" s="6" t="s">
        <v>22</v>
      </c>
      <c r="C28" s="6">
        <f>'P&amp;L Source'!C15</f>
        <v>-3375.4</v>
      </c>
      <c r="D28" s="6">
        <f>'P&amp;L Source'!D15</f>
        <v>-3472.6</v>
      </c>
      <c r="E28" s="6">
        <f>'P&amp;L Source'!E15</f>
        <v>-3536.7</v>
      </c>
      <c r="F28" s="6">
        <f>'P&amp;L Source'!F15</f>
        <v>-3422.5</v>
      </c>
      <c r="G28" s="6">
        <f>'P&amp;L Source'!G15</f>
        <v>-3356.7</v>
      </c>
      <c r="H28" s="33"/>
      <c r="I28" s="13">
        <f>-(I$7*I29)</f>
        <v>-4367.2792343360388</v>
      </c>
      <c r="J28" s="13">
        <f>-(J$7*J29)</f>
        <v>-4803.8761393926115</v>
      </c>
      <c r="K28" s="13">
        <f>-(K$7*K29)</f>
        <v>-5284.119637047691</v>
      </c>
      <c r="L28" s="13">
        <f>-(L$7*L29)</f>
        <v>-5812.3730771633482</v>
      </c>
      <c r="M28" s="13">
        <f>-(M$7*M29)</f>
        <v>-6393.4360136873665</v>
      </c>
    </row>
    <row r="29" spans="2:13" x14ac:dyDescent="0.45">
      <c r="B29" s="6" t="s">
        <v>20</v>
      </c>
      <c r="C29" s="68">
        <f>-(C28/C7)</f>
        <v>3.4251190278076563E-2</v>
      </c>
      <c r="D29" s="68">
        <f>-(D28/D7)</f>
        <v>4.2476676725408578E-2</v>
      </c>
      <c r="E29" s="68">
        <f>-(E28/E7)</f>
        <v>3.8689076218585021E-2</v>
      </c>
      <c r="F29" s="68">
        <f>-(F28/F7)</f>
        <v>3.4192175511508952E-2</v>
      </c>
      <c r="G29" s="68">
        <f>-(G28/G7)</f>
        <v>2.9725644179602505E-2</v>
      </c>
      <c r="H29" s="33"/>
      <c r="I29" s="31">
        <f>CHOOSE($C$4,I31,I32,I33)</f>
        <v>3.5159999999999997E-2</v>
      </c>
      <c r="J29" s="31">
        <f>CHOOSE($C$4,J31,J32,J33)</f>
        <v>3.5159999999999997E-2</v>
      </c>
      <c r="K29" s="31">
        <f>CHOOSE($C$4,K31,K32,K33)</f>
        <v>3.5159999999999997E-2</v>
      </c>
      <c r="L29" s="31">
        <f>CHOOSE($C$4,L31,L32,L33)</f>
        <v>3.5159999999999997E-2</v>
      </c>
      <c r="M29" s="31">
        <f>CHOOSE($C$4,M31,M32,M33)</f>
        <v>3.5159999999999997E-2</v>
      </c>
    </row>
    <row r="30" spans="2:13" x14ac:dyDescent="0.45">
      <c r="C30" s="33"/>
      <c r="D30" s="33"/>
      <c r="E30" s="33"/>
      <c r="F30" s="33"/>
      <c r="G30" s="33"/>
      <c r="H30" s="33"/>
      <c r="I30" s="36"/>
      <c r="J30" s="36"/>
      <c r="K30" s="36"/>
      <c r="L30" s="36"/>
      <c r="M30" s="36"/>
    </row>
    <row r="31" spans="2:13" x14ac:dyDescent="0.45">
      <c r="C31" s="37"/>
      <c r="D31" s="37"/>
      <c r="E31" s="37"/>
      <c r="F31" s="37"/>
      <c r="G31" s="37"/>
      <c r="H31" s="33"/>
      <c r="I31" s="31">
        <v>2.9000000000000001E-2</v>
      </c>
      <c r="J31" s="31">
        <v>2.9000000000000001E-2</v>
      </c>
      <c r="K31" s="31">
        <v>2.9000000000000001E-2</v>
      </c>
      <c r="L31" s="31">
        <v>2.9000000000000001E-2</v>
      </c>
      <c r="M31" s="31">
        <v>2.9000000000000001E-2</v>
      </c>
    </row>
    <row r="32" spans="2:13" x14ac:dyDescent="0.45">
      <c r="C32" s="37"/>
      <c r="D32" s="37"/>
      <c r="E32" s="37"/>
      <c r="F32" s="37"/>
      <c r="G32" s="37"/>
      <c r="H32" s="33"/>
      <c r="I32" s="31">
        <v>3.5159999999999997E-2</v>
      </c>
      <c r="J32" s="31">
        <v>3.5159999999999997E-2</v>
      </c>
      <c r="K32" s="31">
        <v>3.5159999999999997E-2</v>
      </c>
      <c r="L32" s="31">
        <v>3.5159999999999997E-2</v>
      </c>
      <c r="M32" s="31">
        <v>3.5159999999999997E-2</v>
      </c>
    </row>
    <row r="33" spans="2:13" x14ac:dyDescent="0.45">
      <c r="C33" s="37"/>
      <c r="D33" s="37"/>
      <c r="E33" s="37"/>
      <c r="F33" s="37"/>
      <c r="G33" s="37"/>
      <c r="H33" s="33"/>
      <c r="I33" s="31">
        <v>4.2000000000000003E-2</v>
      </c>
      <c r="J33" s="31">
        <v>4.2000000000000003E-2</v>
      </c>
      <c r="K33" s="31">
        <v>4.2000000000000003E-2</v>
      </c>
      <c r="L33" s="31">
        <v>4.2000000000000003E-2</v>
      </c>
      <c r="M33" s="31">
        <v>4.2000000000000003E-2</v>
      </c>
    </row>
    <row r="34" spans="2:13" x14ac:dyDescent="0.45">
      <c r="C34" s="33"/>
      <c r="D34" s="33"/>
      <c r="E34" s="33"/>
      <c r="F34" s="33"/>
      <c r="G34" s="33"/>
      <c r="H34" s="33"/>
      <c r="I34" s="36"/>
      <c r="J34" s="36"/>
      <c r="K34" s="36"/>
      <c r="L34" s="36"/>
      <c r="M34" s="36"/>
    </row>
    <row r="35" spans="2:13" x14ac:dyDescent="0.45">
      <c r="B35" s="6" t="s">
        <v>23</v>
      </c>
      <c r="C35" s="68">
        <v>-0.33232451320201772</v>
      </c>
      <c r="D35" s="68">
        <v>-0.30770743458328709</v>
      </c>
      <c r="E35" s="68">
        <v>-0.35202992144326989</v>
      </c>
      <c r="F35" s="68">
        <v>-0.33387156402226859</v>
      </c>
      <c r="G35" s="68">
        <v>-0.33842606887749882</v>
      </c>
      <c r="H35" s="33"/>
      <c r="I35" s="31">
        <f>CHOOSE($C$4,I38,I39,I40)</f>
        <v>-0.3</v>
      </c>
      <c r="J35" s="31">
        <f>CHOOSE($C$4,J38,J39,J40)</f>
        <v>-0.3</v>
      </c>
      <c r="K35" s="31">
        <f>CHOOSE($C$4,K38,K39,K40)</f>
        <v>-0.3</v>
      </c>
      <c r="L35" s="31">
        <f>CHOOSE($C$4,L38,L39,L40)</f>
        <v>-0.3</v>
      </c>
      <c r="M35" s="31">
        <f>CHOOSE($C$4,M38,M39,M40)</f>
        <v>-0.3</v>
      </c>
    </row>
    <row r="36" spans="2:13" x14ac:dyDescent="0.45">
      <c r="C36" s="32"/>
      <c r="D36" s="32"/>
      <c r="E36" s="32"/>
      <c r="F36" s="32"/>
      <c r="G36" s="32"/>
      <c r="H36" s="33"/>
      <c r="I36" s="36"/>
      <c r="J36" s="36"/>
      <c r="K36" s="36"/>
      <c r="L36" s="36"/>
      <c r="M36" s="36"/>
    </row>
    <row r="37" spans="2:13" x14ac:dyDescent="0.45">
      <c r="C37" s="33"/>
      <c r="D37" s="33"/>
      <c r="E37" s="33"/>
      <c r="F37" s="33"/>
      <c r="G37" s="33"/>
      <c r="H37" s="33"/>
      <c r="I37" s="36"/>
      <c r="J37" s="36"/>
      <c r="K37" s="36"/>
      <c r="L37" s="36"/>
      <c r="M37" s="36"/>
    </row>
    <row r="38" spans="2:13" x14ac:dyDescent="0.45">
      <c r="C38" s="37"/>
      <c r="D38" s="37"/>
      <c r="E38" s="37"/>
      <c r="F38" s="37"/>
      <c r="G38" s="37"/>
      <c r="H38" s="33"/>
      <c r="I38" s="31">
        <v>-0.25</v>
      </c>
      <c r="J38" s="31">
        <v>-0.25</v>
      </c>
      <c r="K38" s="31">
        <v>-0.25</v>
      </c>
      <c r="L38" s="31">
        <v>-0.25</v>
      </c>
      <c r="M38" s="31">
        <v>-0.25</v>
      </c>
    </row>
    <row r="39" spans="2:13" x14ac:dyDescent="0.45">
      <c r="C39" s="37"/>
      <c r="D39" s="37"/>
      <c r="E39" s="37"/>
      <c r="F39" s="37"/>
      <c r="G39" s="37"/>
      <c r="H39" s="33"/>
      <c r="I39" s="31">
        <v>-0.3</v>
      </c>
      <c r="J39" s="31">
        <v>-0.3</v>
      </c>
      <c r="K39" s="31">
        <v>-0.3</v>
      </c>
      <c r="L39" s="31">
        <v>-0.3</v>
      </c>
      <c r="M39" s="31">
        <v>-0.3</v>
      </c>
    </row>
    <row r="40" spans="2:13" x14ac:dyDescent="0.45">
      <c r="C40" s="37"/>
      <c r="D40" s="37"/>
      <c r="E40" s="37"/>
      <c r="F40" s="37"/>
      <c r="G40" s="37"/>
      <c r="H40" s="33"/>
      <c r="I40" s="31">
        <v>-0.35</v>
      </c>
      <c r="J40" s="31">
        <v>-0.35</v>
      </c>
      <c r="K40" s="31">
        <v>-0.35</v>
      </c>
      <c r="L40" s="31">
        <v>-0.35</v>
      </c>
      <c r="M40" s="31">
        <v>-0.35</v>
      </c>
    </row>
  </sheetData>
  <sheetProtection algorithmName="SHA-512" hashValue="LK75gHwLfxPwzFKejo5C6bPsuThQBCBv8UWhvuBPVwMBvnMj7fjstw1AsOnt02ydIDWPJdJl9HJzXX6aoI/ASA==" saltValue="fLmrzIH/Lr5bFPVRtMlckw==" spinCount="100000" sheet="1" objects="1" scenarios="1"/>
  <mergeCells count="1">
    <mergeCell ref="G2:G4"/>
  </mergeCells>
  <dataValidations count="1">
    <dataValidation type="whole" allowBlank="1" showInputMessage="1" showErrorMessage="1" error="Incorrect inout. Choose case 1,2 or 3._x000a_" promptTitle="Selected Case" prompt="Choose a number according the case you want." sqref="C4" xr:uid="{00000000-0002-0000-0200-000000000000}">
      <formula1>1</formula1>
      <formula2>3</formula2>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22"/>
  <sheetViews>
    <sheetView showGridLines="0" zoomScaleNormal="100" workbookViewId="0">
      <selection activeCell="E20" sqref="E20"/>
    </sheetView>
  </sheetViews>
  <sheetFormatPr defaultColWidth="9.08203125" defaultRowHeight="18.5" x14ac:dyDescent="0.45"/>
  <cols>
    <col min="1" max="1" width="2" style="6" customWidth="1"/>
    <col min="2" max="2" width="39.08203125" style="6" customWidth="1"/>
    <col min="3" max="3" width="12.58203125" style="6" customWidth="1"/>
    <col min="4" max="4" width="14.33203125" style="6" bestFit="1" customWidth="1"/>
    <col min="5" max="12" width="15.58203125" style="6" bestFit="1" customWidth="1"/>
    <col min="13" max="13" width="9.08203125" style="6" customWidth="1"/>
    <col min="14" max="14" width="255.58203125" style="6" bestFit="1" customWidth="1"/>
    <col min="15" max="16" width="9.08203125" style="6" customWidth="1"/>
    <col min="17" max="16384" width="9.08203125" style="6"/>
  </cols>
  <sheetData>
    <row r="1" spans="2:14" x14ac:dyDescent="0.45">
      <c r="B1" s="5" t="s">
        <v>31</v>
      </c>
    </row>
    <row r="3" spans="2:14" ht="38.25" customHeight="1" thickBot="1" x14ac:dyDescent="0.5">
      <c r="B3" s="7" t="s">
        <v>6</v>
      </c>
      <c r="C3" s="8" t="s">
        <v>7</v>
      </c>
      <c r="D3" s="8" t="s">
        <v>8</v>
      </c>
      <c r="E3" s="8" t="s">
        <v>9</v>
      </c>
      <c r="F3" s="8" t="s">
        <v>10</v>
      </c>
      <c r="G3" s="8" t="s">
        <v>11</v>
      </c>
      <c r="H3" s="10" t="s">
        <v>12</v>
      </c>
      <c r="I3" s="10" t="s">
        <v>13</v>
      </c>
      <c r="J3" s="10" t="s">
        <v>14</v>
      </c>
      <c r="K3" s="10" t="s">
        <v>15</v>
      </c>
      <c r="L3" s="10" t="s">
        <v>16</v>
      </c>
    </row>
    <row r="4" spans="2:14" x14ac:dyDescent="0.45">
      <c r="B4" s="6" t="s">
        <v>32</v>
      </c>
      <c r="C4" s="6">
        <f>'BS Source'!C18</f>
        <v>991</v>
      </c>
      <c r="D4" s="6">
        <f>'BS Source'!D18</f>
        <v>784.2</v>
      </c>
      <c r="E4" s="6">
        <f>'BS Source'!E18</f>
        <v>979.3</v>
      </c>
      <c r="F4" s="6">
        <f>'BS Source'!F18</f>
        <v>889.7</v>
      </c>
      <c r="G4" s="6">
        <f>'BS Source'!G18</f>
        <v>1245.9000000000001</v>
      </c>
      <c r="H4" s="13">
        <f>(H5/365)*'P&amp;L assumptions'!I7</f>
        <v>1249.1417024326324</v>
      </c>
      <c r="I4" s="13">
        <f>(I5/365)*'P&amp;L assumptions'!J7</f>
        <v>1374.0183984248224</v>
      </c>
      <c r="J4" s="13">
        <f>(J5/365)*'P&amp;L assumptions'!K7</f>
        <v>1511.3790177153519</v>
      </c>
      <c r="K4" s="13">
        <f>(K5/365)*'P&amp;L assumptions'!L7</f>
        <v>1662.4715781163554</v>
      </c>
      <c r="L4" s="13">
        <f>(L5/365)*'P&amp;L assumptions'!M7</f>
        <v>1828.6688617806471</v>
      </c>
    </row>
    <row r="5" spans="2:14" x14ac:dyDescent="0.45">
      <c r="B5" s="12" t="s">
        <v>33</v>
      </c>
      <c r="C5" s="12">
        <f>(C4/'P&amp;L Source'!C9)*365</f>
        <v>3.6704299613184994</v>
      </c>
      <c r="D5" s="12">
        <f>(D4/'P&amp;L Source'!D9)*365</f>
        <v>3.5011883341426815</v>
      </c>
      <c r="E5" s="12">
        <f>(E4/'P&amp;L Source'!E9)*365</f>
        <v>3.9101980672417826</v>
      </c>
      <c r="F5" s="12">
        <f>(F4/'P&amp;L Source'!F9)*365</f>
        <v>3.2442904811381079</v>
      </c>
      <c r="G5" s="12">
        <f>(G4/'P&amp;L Source'!G9)*365</f>
        <v>4.0271220932549445</v>
      </c>
      <c r="H5" s="69">
        <f>AVERAGE($C$5:$G$5)</f>
        <v>3.6706457874192031</v>
      </c>
      <c r="I5" s="69">
        <f>AVERAGE($C$5:$G$5)</f>
        <v>3.6706457874192031</v>
      </c>
      <c r="J5" s="69">
        <f>AVERAGE($C$5:$G$5)</f>
        <v>3.6706457874192031</v>
      </c>
      <c r="K5" s="69">
        <f>AVERAGE($C$5:$G$5)</f>
        <v>3.6706457874192031</v>
      </c>
      <c r="L5" s="69">
        <f>AVERAGE($C$5:$G$5)</f>
        <v>3.6706457874192031</v>
      </c>
    </row>
    <row r="6" spans="2:14" x14ac:dyDescent="0.45">
      <c r="C6" s="11"/>
      <c r="D6" s="11"/>
      <c r="E6" s="11"/>
      <c r="F6" s="11"/>
      <c r="G6" s="11"/>
      <c r="H6" s="13"/>
      <c r="I6" s="13"/>
      <c r="J6" s="13"/>
      <c r="K6" s="13"/>
      <c r="L6" s="13"/>
    </row>
    <row r="7" spans="2:14" x14ac:dyDescent="0.45">
      <c r="B7" s="6" t="s">
        <v>34</v>
      </c>
      <c r="C7" s="6">
        <f>'BS Source'!C38</f>
        <v>7287.1</v>
      </c>
      <c r="D7" s="6">
        <f>'BS Source'!D38</f>
        <v>7494.1</v>
      </c>
      <c r="E7" s="6">
        <f>'BS Source'!E38</f>
        <v>7991.6</v>
      </c>
      <c r="F7" s="6">
        <f>'BS Source'!F38</f>
        <v>9846.4</v>
      </c>
      <c r="G7" s="6">
        <f>'BS Source'!G38</f>
        <v>12403.7</v>
      </c>
      <c r="H7" s="13">
        <f>-(H8/365)*'P&amp;L assumptions'!I14</f>
        <v>11302.848988814334</v>
      </c>
      <c r="I7" s="13">
        <f>-(I8/365)*'P&amp;L assumptions'!J14</f>
        <v>12432.794802226103</v>
      </c>
      <c r="J7" s="13">
        <f>-(J8/365)*'P&amp;L assumptions'!K14</f>
        <v>13675.701298604645</v>
      </c>
      <c r="K7" s="13">
        <f>-(K8/365)*'P&amp;L assumptions'!L14</f>
        <v>15042.86115742615</v>
      </c>
      <c r="L7" s="13">
        <f>-(L8/365)*'P&amp;L assumptions'!M14</f>
        <v>16546.695987334038</v>
      </c>
    </row>
    <row r="8" spans="2:14" x14ac:dyDescent="0.45">
      <c r="B8" s="12" t="s">
        <v>35</v>
      </c>
      <c r="C8" s="12">
        <f>-(C7/'P&amp;L Source'!C11)*365</f>
        <v>58.793435397306787</v>
      </c>
      <c r="D8" s="12">
        <f>-(D7/'P&amp;L Source'!D11)*365</f>
        <v>78.853198843440751</v>
      </c>
      <c r="E8" s="12">
        <f>-(E7/'P&amp;L Source'!E11)*365</f>
        <v>75.124304305387071</v>
      </c>
      <c r="F8" s="12">
        <f>-(F7/'P&amp;L Source'!F11)*365</f>
        <v>83.06221688083572</v>
      </c>
      <c r="G8" s="12">
        <f>-(G7/'P&amp;L Source'!G11)*365</f>
        <v>98.630144894700265</v>
      </c>
      <c r="H8" s="69">
        <f>AVERAGE($C$8:$G$8)</f>
        <v>78.892660064334123</v>
      </c>
      <c r="I8" s="69">
        <f>AVERAGE($C$8:$G$8)</f>
        <v>78.892660064334123</v>
      </c>
      <c r="J8" s="69">
        <f>AVERAGE($C$8:$G$8)</f>
        <v>78.892660064334123</v>
      </c>
      <c r="K8" s="69">
        <f>AVERAGE($C$8:$G$8)</f>
        <v>78.892660064334123</v>
      </c>
      <c r="L8" s="69">
        <f>AVERAGE($C$8:$G$8)</f>
        <v>78.892660064334123</v>
      </c>
    </row>
    <row r="9" spans="2:14" x14ac:dyDescent="0.45">
      <c r="C9" s="11"/>
      <c r="D9" s="11"/>
      <c r="E9" s="11"/>
      <c r="F9" s="11"/>
      <c r="G9" s="11"/>
      <c r="H9" s="13"/>
      <c r="I9" s="13"/>
      <c r="J9" s="13"/>
      <c r="K9" s="13"/>
      <c r="L9" s="13"/>
    </row>
    <row r="10" spans="2:14" x14ac:dyDescent="0.45">
      <c r="B10" s="6" t="s">
        <v>36</v>
      </c>
      <c r="C10" s="6">
        <f>'BS Source'!C17</f>
        <v>8441</v>
      </c>
      <c r="D10" s="6">
        <f>'BS Source'!D17</f>
        <v>8208.1</v>
      </c>
      <c r="E10" s="6">
        <f>'BS Source'!E17</f>
        <v>9400.6</v>
      </c>
      <c r="F10" s="6">
        <f>'BS Source'!F17</f>
        <v>9024.7000000000007</v>
      </c>
      <c r="G10" s="6">
        <f>'BS Source'!G17</f>
        <v>9655.5</v>
      </c>
      <c r="H10" s="13">
        <f>-(H11/365)*'P&amp;L assumptions'!I14</f>
        <v>11339.619626401762</v>
      </c>
      <c r="I10" s="13">
        <f>-(I11/365)*'P&amp;L assumptions'!J14</f>
        <v>12473.241400453146</v>
      </c>
      <c r="J10" s="13">
        <f>-(J11/365)*'P&amp;L assumptions'!K14</f>
        <v>13720.191343256445</v>
      </c>
      <c r="K10" s="13">
        <f>-(K11/365)*'P&amp;L assumptions'!L14</f>
        <v>15091.798871841789</v>
      </c>
      <c r="L10" s="13">
        <f>-(L11/365)*'P&amp;L assumptions'!M14</f>
        <v>16600.526005059812</v>
      </c>
    </row>
    <row r="11" spans="2:14" x14ac:dyDescent="0.45">
      <c r="B11" s="12" t="s">
        <v>37</v>
      </c>
      <c r="C11" s="12">
        <f>-(C10/'P&amp;L Source'!C11)*365</f>
        <v>68.103276775214638</v>
      </c>
      <c r="D11" s="12">
        <f>-(D10/'P&amp;L Source'!D11)*365</f>
        <v>86.365933391180533</v>
      </c>
      <c r="E11" s="12">
        <f>-(E10/'P&amp;L Source'!E11)*365</f>
        <v>88.369479835479964</v>
      </c>
      <c r="F11" s="12">
        <f>-(F10/'P&amp;L Source'!F11)*365</f>
        <v>76.130523712674503</v>
      </c>
      <c r="G11" s="12">
        <f>-(G10/'P&amp;L Source'!G11)*365</f>
        <v>76.777361918683809</v>
      </c>
      <c r="H11" s="69">
        <f>AVERAGE($C$11:$G$11)</f>
        <v>79.149315126646698</v>
      </c>
      <c r="I11" s="69">
        <f>AVERAGE($C$11:$G$11)</f>
        <v>79.149315126646698</v>
      </c>
      <c r="J11" s="69">
        <f>AVERAGE($C$11:$G$11)</f>
        <v>79.149315126646698</v>
      </c>
      <c r="K11" s="69">
        <f>AVERAGE($C$11:$G$11)</f>
        <v>79.149315126646698</v>
      </c>
      <c r="L11" s="69">
        <f>AVERAGE($C$11:$G$11)</f>
        <v>79.149315126646698</v>
      </c>
    </row>
    <row r="12" spans="2:14" x14ac:dyDescent="0.45">
      <c r="C12" s="11"/>
      <c r="D12" s="11"/>
      <c r="E12" s="11"/>
      <c r="F12" s="11"/>
      <c r="G12" s="11"/>
      <c r="H12" s="13"/>
      <c r="I12" s="13"/>
      <c r="J12" s="13"/>
      <c r="K12" s="13"/>
      <c r="L12" s="13"/>
    </row>
    <row r="13" spans="2:14" x14ac:dyDescent="0.45">
      <c r="B13" s="6" t="s">
        <v>38</v>
      </c>
      <c r="C13" s="6">
        <f>'BS Source'!C8</f>
        <v>34214.199999999997</v>
      </c>
      <c r="D13" s="6">
        <f>'BS Source'!D8</f>
        <v>31286.400000000001</v>
      </c>
      <c r="E13" s="6">
        <f>'BS Source'!E8</f>
        <v>29183.1</v>
      </c>
      <c r="F13" s="6">
        <f>'BS Source'!F8</f>
        <v>27103.4</v>
      </c>
      <c r="G13" s="6">
        <f>'BS Source'!G8</f>
        <v>25058.2</v>
      </c>
      <c r="H13" s="13">
        <f>G13+H14+'P&amp;L assumptions'!I28</f>
        <v>23175.152412043961</v>
      </c>
      <c r="I13" s="13">
        <f>H13+I14+'P&amp;L assumptions'!J28</f>
        <v>22128.574163245685</v>
      </c>
      <c r="J13" s="13">
        <f>I13+J14+'P&amp;L assumptions'!K28</f>
        <v>22128.574163245685</v>
      </c>
      <c r="K13" s="13">
        <f>J13+K14+'P&amp;L assumptions'!L28</f>
        <v>22128.574163245685</v>
      </c>
      <c r="L13" s="13">
        <f>K13+L14+'P&amp;L assumptions'!M28</f>
        <v>22128.574163245685</v>
      </c>
    </row>
    <row r="14" spans="2:14" x14ac:dyDescent="0.45">
      <c r="B14" s="12" t="s">
        <v>39</v>
      </c>
      <c r="C14" s="39"/>
      <c r="D14" s="70">
        <f>BS!D6</f>
        <v>544.80000000000427</v>
      </c>
      <c r="E14" s="70">
        <f>BS!E6</f>
        <v>1433.3999999999969</v>
      </c>
      <c r="F14" s="70">
        <f>BS!F6</f>
        <v>1342.8000000000029</v>
      </c>
      <c r="G14" s="70">
        <f>BS!G6</f>
        <v>1311.4999999999991</v>
      </c>
      <c r="H14" s="70">
        <f>H15*'P&amp;L assumptions'!I7</f>
        <v>2484.2316463799998</v>
      </c>
      <c r="I14" s="70">
        <f>I15*'P&amp;L assumptions'!J7</f>
        <v>3757.2978905943355</v>
      </c>
      <c r="J14" s="70">
        <f>J15*'P&amp;L assumptions'!K7</f>
        <v>5284.119637047691</v>
      </c>
      <c r="K14" s="70">
        <f>K15*'P&amp;L assumptions'!L7</f>
        <v>5812.3730771633482</v>
      </c>
      <c r="L14" s="70">
        <f>L15*'P&amp;L assumptions'!M7</f>
        <v>6393.4360136873665</v>
      </c>
    </row>
    <row r="15" spans="2:14" x14ac:dyDescent="0.45">
      <c r="B15" t="s">
        <v>40</v>
      </c>
      <c r="D15" s="63">
        <f>D14/'P&amp;L Source'!D9</f>
        <v>6.6639674825786956E-3</v>
      </c>
      <c r="E15" s="63">
        <f>E14/'P&amp;L Source'!E9</f>
        <v>1.5680414468775879E-2</v>
      </c>
      <c r="F15" s="63">
        <f>F14/'P&amp;L Source'!F9</f>
        <v>1.3415121483375989E-2</v>
      </c>
      <c r="G15" s="63">
        <f>G14/'P&amp;L Source'!G9</f>
        <v>1.1614139583980892E-2</v>
      </c>
      <c r="H15" s="71">
        <f>CHOOSE('P&amp;L assumptions'!$C$4,'BS assumptions'!H16,'BS assumptions'!H17,'BS assumptions'!H18)</f>
        <v>0.02</v>
      </c>
      <c r="I15" s="71">
        <f>CHOOSE('P&amp;L assumptions'!$C$4,'BS assumptions'!I16,'BS assumptions'!I17,'BS assumptions'!I18)</f>
        <v>2.75E-2</v>
      </c>
      <c r="J15" s="71">
        <f>CHOOSE('P&amp;L assumptions'!$C$4,'BS assumptions'!J16,'BS assumptions'!J17,'BS assumptions'!J18)</f>
        <v>3.5159999999999997E-2</v>
      </c>
      <c r="K15" s="71">
        <f>CHOOSE('P&amp;L assumptions'!$C$4,'BS assumptions'!K16,'BS assumptions'!K17,'BS assumptions'!K18)</f>
        <v>3.5159999999999997E-2</v>
      </c>
      <c r="L15" s="71">
        <f>CHOOSE('P&amp;L assumptions'!$C$4,'BS assumptions'!L16,'BS assumptions'!L17,'BS assumptions'!L18)</f>
        <v>3.5159999999999997E-2</v>
      </c>
      <c r="N15" t="s">
        <v>41</v>
      </c>
    </row>
    <row r="16" spans="2:14" x14ac:dyDescent="0.45">
      <c r="B16" s="12" t="s">
        <v>2</v>
      </c>
      <c r="C16" s="37"/>
      <c r="D16" s="37"/>
      <c r="E16" s="37"/>
      <c r="F16" s="37"/>
      <c r="G16" s="37"/>
      <c r="H16" s="72">
        <v>1.4999999999999999E-2</v>
      </c>
      <c r="I16" s="72">
        <v>0.02</v>
      </c>
      <c r="J16" s="72">
        <v>2.5000000000000001E-2</v>
      </c>
      <c r="K16" s="72">
        <v>2.75E-2</v>
      </c>
      <c r="L16" s="72">
        <v>0.03</v>
      </c>
    </row>
    <row r="17" spans="2:12" x14ac:dyDescent="0.45">
      <c r="B17" t="s">
        <v>3</v>
      </c>
      <c r="C17" s="37"/>
      <c r="D17" s="37"/>
      <c r="E17" s="37"/>
      <c r="F17" s="37"/>
      <c r="G17" s="37"/>
      <c r="H17" s="72">
        <v>0.02</v>
      </c>
      <c r="I17" s="72">
        <v>2.75E-2</v>
      </c>
      <c r="J17" s="72">
        <f>'P&amp;L assumptions'!K29</f>
        <v>3.5159999999999997E-2</v>
      </c>
      <c r="K17" s="72">
        <f>'P&amp;L assumptions'!L29</f>
        <v>3.5159999999999997E-2</v>
      </c>
      <c r="L17" s="72">
        <f>'P&amp;L assumptions'!M29</f>
        <v>3.5159999999999997E-2</v>
      </c>
    </row>
    <row r="18" spans="2:12" x14ac:dyDescent="0.45">
      <c r="B18" t="s">
        <v>5</v>
      </c>
      <c r="C18" s="37"/>
      <c r="D18" s="37"/>
      <c r="E18" s="37"/>
      <c r="F18" s="37"/>
      <c r="G18" s="37"/>
      <c r="H18" s="72">
        <v>2.5000000000000001E-2</v>
      </c>
      <c r="I18" s="72">
        <v>3.5000000000000003E-2</v>
      </c>
      <c r="J18" s="72">
        <v>0.04</v>
      </c>
      <c r="K18" s="72">
        <v>4.2500000000000003E-2</v>
      </c>
      <c r="L18" s="72">
        <v>4.4999999999999998E-2</v>
      </c>
    </row>
    <row r="20" spans="2:12" x14ac:dyDescent="0.45">
      <c r="B20" t="s">
        <v>42</v>
      </c>
      <c r="D20" s="62">
        <f>-D14/'P&amp;L assumptions'!D28</f>
        <v>0.15688533087600193</v>
      </c>
      <c r="E20" s="62">
        <f>-E14/'P&amp;L assumptions'!E28</f>
        <v>0.40529306981083973</v>
      </c>
      <c r="F20" s="62">
        <f>-F14/'P&amp;L assumptions'!F28</f>
        <v>0.39234477720964295</v>
      </c>
      <c r="G20" s="62">
        <f>-G14/'P&amp;L assumptions'!G28</f>
        <v>0.39071111508326606</v>
      </c>
      <c r="H20" s="62">
        <f>-H14/'P&amp;L assumptions'!I28</f>
        <v>0.56882821387940852</v>
      </c>
      <c r="I20" s="62">
        <f>-I14/'P&amp;L assumptions'!J28</f>
        <v>0.78213879408418674</v>
      </c>
      <c r="J20" s="62">
        <f>-J14/'P&amp;L assumptions'!K28</f>
        <v>1</v>
      </c>
      <c r="K20" s="62">
        <f>-K14/'P&amp;L assumptions'!L28</f>
        <v>1</v>
      </c>
      <c r="L20" s="62">
        <f>-L14/'P&amp;L assumptions'!M28</f>
        <v>1</v>
      </c>
    </row>
    <row r="21" spans="2:12" x14ac:dyDescent="0.45">
      <c r="B21" t="s">
        <v>43</v>
      </c>
      <c r="D21" s="63">
        <f>D13/'P&amp;L Source'!D9</f>
        <v>0.38269374494667485</v>
      </c>
      <c r="E21" s="63">
        <f>E13/'P&amp;L Source'!E9</f>
        <v>0.31924313065699339</v>
      </c>
      <c r="F21" s="63">
        <f>F13/'P&amp;L Source'!F9</f>
        <v>0.27077405690537087</v>
      </c>
      <c r="G21" s="63">
        <f>G13/'P&amp;L Source'!G9</f>
        <v>0.22190578156561969</v>
      </c>
      <c r="H21" s="63">
        <f>H13/'P&amp;L assumptions'!I7</f>
        <v>0.18657803064230816</v>
      </c>
      <c r="I21" s="63">
        <f>I13/'P&amp;L assumptions'!J7</f>
        <v>0.161961017520758</v>
      </c>
      <c r="J21" s="63">
        <f>J13/'P&amp;L assumptions'!K7</f>
        <v>0.14724130432717075</v>
      </c>
      <c r="K21" s="63">
        <f>K13/'P&amp;L assumptions'!L7</f>
        <v>0.13385938191693481</v>
      </c>
      <c r="L21" s="63">
        <f>L13/'P&amp;L assumptions'!M7</f>
        <v>0.12169366611538027</v>
      </c>
    </row>
    <row r="22" spans="2:12" x14ac:dyDescent="0.45">
      <c r="B22" t="s">
        <v>44</v>
      </c>
      <c r="D22" s="63">
        <f>-'P&amp;L assumptions'!D28/C13</f>
        <v>0.10149587013579157</v>
      </c>
      <c r="E22" s="63">
        <f>-'P&amp;L assumptions'!E28/D13</f>
        <v>0.11304272783062289</v>
      </c>
      <c r="F22" s="63">
        <f>-'P&amp;L assumptions'!F28/E13</f>
        <v>0.11727678005420947</v>
      </c>
      <c r="G22" s="63">
        <f>-'P&amp;L assumptions'!G28/F13</f>
        <v>0.12384793051794238</v>
      </c>
      <c r="H22" s="63">
        <f>-'P&amp;L assumptions'!I28/G13</f>
        <v>0.17428543288568368</v>
      </c>
      <c r="I22" s="63">
        <f>-'P&amp;L assumptions'!J28/H13</f>
        <v>0.20728563307726389</v>
      </c>
      <c r="J22" s="63">
        <f>-'P&amp;L assumptions'!K28/I13</f>
        <v>0.23879169069213307</v>
      </c>
      <c r="K22" s="63">
        <f>-'P&amp;L assumptions'!L28/J13</f>
        <v>0.26266369601062561</v>
      </c>
      <c r="L22" s="63">
        <f>-'P&amp;L assumptions'!M28/K13</f>
        <v>0.28892218570080774</v>
      </c>
    </row>
  </sheetData>
  <sheetProtection algorithmName="SHA-512" hashValue="S/QWgOQdYi8gEU8SwbAyY6JHtqdNO871I/USKikm+AQU3BpgbiWLu2HlMT6Br5jG767+xcD0vBclPqhm5Jw2PQ==" saltValue="NmHBDxTk7i+3wBHlcqVlJA==" spinCount="100000" sheet="1" objects="1" scenarios="1"/>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B1:B11"/>
  <sheetViews>
    <sheetView showGridLines="0" workbookViewId="0"/>
  </sheetViews>
  <sheetFormatPr defaultColWidth="9.08203125" defaultRowHeight="11.5" x14ac:dyDescent="0.25"/>
  <cols>
    <col min="1" max="1" width="2" style="2" customWidth="1"/>
    <col min="2" max="4" width="9.08203125" style="2" customWidth="1"/>
    <col min="5" max="16384" width="9.08203125" style="2"/>
  </cols>
  <sheetData>
    <row r="1" spans="2:2" ht="15.75" customHeight="1" x14ac:dyDescent="0.35">
      <c r="B1" s="1"/>
    </row>
    <row r="11" spans="2:2" ht="51" customHeight="1" x14ac:dyDescent="1.1000000000000001">
      <c r="B11" s="4" t="s">
        <v>45</v>
      </c>
    </row>
  </sheetData>
  <sheetProtection algorithmName="SHA-512" hashValue="8qDPvIGw0SXryjTkBVIwkU1yp0lx7d1XHEepgeUMw48DWQen9B6TBOwBVFRf3Gh0EwG62K1omQCtdaJzv+1DJQ==" saltValue="TFYsmgXW9iQVljf+gLuHdQ==" spinCount="100000" sheet="1" objects="1" scenarios="1"/>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8"/>
  <sheetViews>
    <sheetView showGridLines="0" topLeftCell="A11" workbookViewId="0">
      <selection activeCell="E30" sqref="E30"/>
    </sheetView>
  </sheetViews>
  <sheetFormatPr defaultColWidth="9.08203125" defaultRowHeight="18.5" x14ac:dyDescent="0.45"/>
  <cols>
    <col min="1" max="1" width="2" style="6" customWidth="1"/>
    <col min="2" max="2" width="42.33203125" style="6" bestFit="1" customWidth="1"/>
    <col min="3" max="3" width="15.25" style="6" bestFit="1" customWidth="1"/>
    <col min="4" max="5" width="14.75" style="6" bestFit="1" customWidth="1"/>
    <col min="6" max="12" width="15.25" style="6" bestFit="1" customWidth="1"/>
    <col min="13" max="13" width="2" style="6" customWidth="1"/>
    <col min="14" max="14" width="36.5" style="6" customWidth="1"/>
    <col min="15" max="17" width="9.08203125" style="6" customWidth="1"/>
    <col min="18" max="16384" width="9.08203125" style="6"/>
  </cols>
  <sheetData>
    <row r="1" spans="2:14" x14ac:dyDescent="0.45">
      <c r="B1" s="5" t="s">
        <v>46</v>
      </c>
    </row>
    <row r="3" spans="2:14" ht="38.25" customHeight="1" thickBot="1" x14ac:dyDescent="0.5">
      <c r="B3" s="7" t="s">
        <v>6</v>
      </c>
      <c r="C3" s="8" t="s">
        <v>7</v>
      </c>
      <c r="D3" s="8" t="s">
        <v>8</v>
      </c>
      <c r="E3" s="8" t="s">
        <v>9</v>
      </c>
      <c r="F3" s="8" t="s">
        <v>10</v>
      </c>
      <c r="G3" s="8" t="s">
        <v>11</v>
      </c>
      <c r="H3" s="10" t="s">
        <v>12</v>
      </c>
      <c r="I3" s="10" t="s">
        <v>13</v>
      </c>
      <c r="J3" s="10" t="s">
        <v>14</v>
      </c>
      <c r="K3" s="10" t="s">
        <v>15</v>
      </c>
      <c r="L3" s="10" t="s">
        <v>16</v>
      </c>
      <c r="N3" s="14" t="s">
        <v>47</v>
      </c>
    </row>
    <row r="4" spans="2:14" x14ac:dyDescent="0.45">
      <c r="B4" s="6" t="s">
        <v>48</v>
      </c>
      <c r="C4" s="6">
        <f>'P&amp;L assumptions'!C7</f>
        <v>98548.4</v>
      </c>
      <c r="D4" s="6">
        <f>'P&amp;L assumptions'!D7</f>
        <v>81753.099999999991</v>
      </c>
      <c r="E4" s="6">
        <f>'P&amp;L assumptions'!E7</f>
        <v>91413.4</v>
      </c>
      <c r="F4" s="6">
        <f>'P&amp;L assumptions'!F7</f>
        <v>100096</v>
      </c>
      <c r="G4" s="6">
        <f>'P&amp;L assumptions'!G7</f>
        <v>112922.7</v>
      </c>
      <c r="H4" s="13">
        <f>'P&amp;L assumptions'!I7</f>
        <v>124211.58231899998</v>
      </c>
      <c r="I4" s="13">
        <f>'P&amp;L assumptions'!J7</f>
        <v>136629.01420343039</v>
      </c>
      <c r="J4" s="13">
        <f>'P&amp;L assumptions'!K7</f>
        <v>150287.81675334732</v>
      </c>
      <c r="K4" s="13">
        <f>'P&amp;L assumptions'!L7</f>
        <v>165312.08979417942</v>
      </c>
      <c r="L4" s="13">
        <f>'P&amp;L assumptions'!M7</f>
        <v>181838.33941090351</v>
      </c>
    </row>
    <row r="5" spans="2:14" x14ac:dyDescent="0.45">
      <c r="B5" s="6" t="s">
        <v>49</v>
      </c>
      <c r="C5" s="6">
        <f>'P&amp;L assumptions'!C14</f>
        <v>-45239.6</v>
      </c>
      <c r="D5" s="6">
        <f>'P&amp;L assumptions'!D14</f>
        <v>-34689.099999999991</v>
      </c>
      <c r="E5" s="6">
        <f>'P&amp;L assumptions'!E14</f>
        <v>-38828.100000000006</v>
      </c>
      <c r="F5" s="6">
        <f>'P&amp;L assumptions'!F14</f>
        <v>-43268</v>
      </c>
      <c r="G5" s="6">
        <f>'P&amp;L assumptions'!G14</f>
        <v>-45902.3</v>
      </c>
      <c r="H5" s="13">
        <f>'P&amp;L assumptions'!I14</f>
        <v>-52293.076156298986</v>
      </c>
      <c r="I5" s="13">
        <f>'P&amp;L assumptions'!J14</f>
        <v>-57520.814979644194</v>
      </c>
      <c r="J5" s="13">
        <f>'P&amp;L assumptions'!K14</f>
        <v>-63271.170853159216</v>
      </c>
      <c r="K5" s="13">
        <f>'P&amp;L assumptions'!L14</f>
        <v>-69596.389803349535</v>
      </c>
      <c r="L5" s="13">
        <f>'P&amp;L assumptions'!M14</f>
        <v>-76553.94089199038</v>
      </c>
    </row>
    <row r="6" spans="2:14" x14ac:dyDescent="0.45">
      <c r="B6" s="15" t="s">
        <v>50</v>
      </c>
      <c r="C6" s="73">
        <f t="shared" ref="C6:L6" si="0">ABS(-(C5/C4)-1)</f>
        <v>0.54094028923858728</v>
      </c>
      <c r="D6" s="73">
        <f t="shared" si="0"/>
        <v>0.57568459177694797</v>
      </c>
      <c r="E6" s="73">
        <f t="shared" si="0"/>
        <v>0.57524717382790702</v>
      </c>
      <c r="F6" s="73">
        <f t="shared" si="0"/>
        <v>0.56773497442455245</v>
      </c>
      <c r="G6" s="73">
        <f t="shared" si="0"/>
        <v>0.59350688568374643</v>
      </c>
      <c r="H6" s="74">
        <f t="shared" si="0"/>
        <v>0.57899999999999996</v>
      </c>
      <c r="I6" s="74">
        <f t="shared" si="0"/>
        <v>0.57899999999999996</v>
      </c>
      <c r="J6" s="74">
        <f t="shared" si="0"/>
        <v>0.57899999999999996</v>
      </c>
      <c r="K6" s="74">
        <f t="shared" si="0"/>
        <v>0.57899999999999996</v>
      </c>
      <c r="L6" s="74">
        <f t="shared" si="0"/>
        <v>0.57899999999999996</v>
      </c>
    </row>
    <row r="7" spans="2:14" x14ac:dyDescent="0.45">
      <c r="B7" s="6" t="str">
        <f>'P&amp;L assumptions'!B21</f>
        <v>Marketing &amp; Other Operating Expenses</v>
      </c>
      <c r="C7" s="6">
        <f>'P&amp;L assumptions'!C21</f>
        <v>-31926.799999999999</v>
      </c>
      <c r="D7" s="6">
        <f>'P&amp;L assumptions'!D21</f>
        <v>-29971.699999999997</v>
      </c>
      <c r="E7" s="6">
        <f>'P&amp;L assumptions'!E21</f>
        <v>-33655</v>
      </c>
      <c r="F7" s="6">
        <f>'P&amp;L assumptions'!F21</f>
        <v>-35221.199999999997</v>
      </c>
      <c r="G7" s="6">
        <f>'P&amp;L assumptions'!G21</f>
        <v>-40459.4</v>
      </c>
      <c r="H7" s="13">
        <f>'P&amp;L assumptions'!I21</f>
        <v>-43138.68253938869</v>
      </c>
      <c r="I7" s="13">
        <f>'P&amp;L assumptions'!J21</f>
        <v>-47451.256632851371</v>
      </c>
      <c r="J7" s="13">
        <f>'P&amp;L assumptions'!K21</f>
        <v>-52194.958758437526</v>
      </c>
      <c r="K7" s="13">
        <f>'P&amp;L assumptions'!L21</f>
        <v>-57412.888785518517</v>
      </c>
      <c r="L7" s="13">
        <f>'P&amp;L assumptions'!M21</f>
        <v>-63152.455277406792</v>
      </c>
    </row>
    <row r="8" spans="2:14" x14ac:dyDescent="0.45">
      <c r="B8" s="15" t="s">
        <v>51</v>
      </c>
      <c r="C8" s="15">
        <f t="shared" ref="C8:L8" si="1">SUM(C4:C5)+C7</f>
        <v>21381.999999999996</v>
      </c>
      <c r="D8" s="15">
        <f t="shared" si="1"/>
        <v>17092.300000000003</v>
      </c>
      <c r="E8" s="15">
        <f t="shared" si="1"/>
        <v>18930.299999999988</v>
      </c>
      <c r="F8" s="15">
        <f t="shared" si="1"/>
        <v>21606.800000000003</v>
      </c>
      <c r="G8" s="15">
        <f t="shared" si="1"/>
        <v>26560.999999999993</v>
      </c>
      <c r="H8" s="75">
        <f t="shared" si="1"/>
        <v>28779.82362331231</v>
      </c>
      <c r="I8" s="75">
        <f t="shared" si="1"/>
        <v>31656.942590934814</v>
      </c>
      <c r="J8" s="75">
        <f t="shared" si="1"/>
        <v>34821.687141750575</v>
      </c>
      <c r="K8" s="75">
        <f t="shared" si="1"/>
        <v>38302.811205311373</v>
      </c>
      <c r="L8" s="75">
        <f t="shared" si="1"/>
        <v>42131.943241506342</v>
      </c>
    </row>
    <row r="9" spans="2:14" x14ac:dyDescent="0.45">
      <c r="B9" s="6" t="s">
        <v>52</v>
      </c>
      <c r="C9" s="6">
        <f>'P&amp;L assumptions'!C28</f>
        <v>-3375.4</v>
      </c>
      <c r="D9" s="6">
        <f>'P&amp;L assumptions'!D28</f>
        <v>-3472.6</v>
      </c>
      <c r="E9" s="6">
        <f>'P&amp;L assumptions'!E28</f>
        <v>-3536.7</v>
      </c>
      <c r="F9" s="6">
        <f>'P&amp;L assumptions'!F28</f>
        <v>-3422.5</v>
      </c>
      <c r="G9" s="6">
        <f>'P&amp;L assumptions'!G28</f>
        <v>-3356.7</v>
      </c>
      <c r="H9" s="13">
        <f>'P&amp;L assumptions'!I28</f>
        <v>-4367.2792343360388</v>
      </c>
      <c r="I9" s="13">
        <f>'P&amp;L assumptions'!J28</f>
        <v>-4803.8761393926115</v>
      </c>
      <c r="J9" s="13">
        <f>'P&amp;L assumptions'!K28</f>
        <v>-5284.119637047691</v>
      </c>
      <c r="K9" s="13">
        <f>'P&amp;L assumptions'!L28</f>
        <v>-5812.3730771633482</v>
      </c>
      <c r="L9" s="13">
        <f>'P&amp;L assumptions'!M28</f>
        <v>-6393.4360136873665</v>
      </c>
    </row>
    <row r="10" spans="2:14" x14ac:dyDescent="0.45">
      <c r="B10" s="15" t="s">
        <v>53</v>
      </c>
      <c r="C10" s="15">
        <f t="shared" ref="C10:L10" si="2">SUM(C8:C9)</f>
        <v>18006.599999999995</v>
      </c>
      <c r="D10" s="15">
        <f t="shared" si="2"/>
        <v>13619.700000000003</v>
      </c>
      <c r="E10" s="15">
        <f t="shared" si="2"/>
        <v>15393.599999999988</v>
      </c>
      <c r="F10" s="15">
        <f t="shared" si="2"/>
        <v>18184.300000000003</v>
      </c>
      <c r="G10" s="15">
        <f t="shared" si="2"/>
        <v>23204.299999999992</v>
      </c>
      <c r="H10" s="75">
        <f t="shared" si="2"/>
        <v>24412.544388976272</v>
      </c>
      <c r="I10" s="75">
        <f t="shared" si="2"/>
        <v>26853.066451542203</v>
      </c>
      <c r="J10" s="75">
        <f t="shared" si="2"/>
        <v>29537.567504702885</v>
      </c>
      <c r="K10" s="75">
        <f t="shared" si="2"/>
        <v>32490.438128148024</v>
      </c>
      <c r="L10" s="75">
        <f t="shared" si="2"/>
        <v>35738.507227818976</v>
      </c>
    </row>
    <row r="11" spans="2:14" x14ac:dyDescent="0.45">
      <c r="B11" s="6" t="s">
        <v>54</v>
      </c>
      <c r="C11" s="76">
        <f t="shared" ref="C11:L11" si="3">C12*C10</f>
        <v>-5984.0345794234509</v>
      </c>
      <c r="D11" s="76">
        <f t="shared" si="3"/>
        <v>-4190.8829467939959</v>
      </c>
      <c r="E11" s="76">
        <f t="shared" si="3"/>
        <v>-5419.0077987291152</v>
      </c>
      <c r="F11" s="76">
        <f t="shared" si="3"/>
        <v>-6071.2206816501393</v>
      </c>
      <c r="G11" s="76">
        <f t="shared" si="3"/>
        <v>-7852.9400300541429</v>
      </c>
      <c r="H11" s="77">
        <f t="shared" si="3"/>
        <v>-7323.7633166928817</v>
      </c>
      <c r="I11" s="77">
        <f t="shared" si="3"/>
        <v>-8055.9199354626608</v>
      </c>
      <c r="J11" s="77">
        <f t="shared" si="3"/>
        <v>-8861.270251410866</v>
      </c>
      <c r="K11" s="77">
        <f t="shared" si="3"/>
        <v>-9747.1314384444067</v>
      </c>
      <c r="L11" s="77">
        <f t="shared" si="3"/>
        <v>-10721.552168345692</v>
      </c>
    </row>
    <row r="12" spans="2:14" x14ac:dyDescent="0.45">
      <c r="B12" s="6" t="s">
        <v>55</v>
      </c>
      <c r="C12" s="68">
        <f>'P&amp;L assumptions'!C35</f>
        <v>-0.33232451320201772</v>
      </c>
      <c r="D12" s="68">
        <f>'P&amp;L assumptions'!D35</f>
        <v>-0.30770743458328709</v>
      </c>
      <c r="E12" s="68">
        <f>'P&amp;L assumptions'!E35</f>
        <v>-0.35202992144326989</v>
      </c>
      <c r="F12" s="68">
        <f>'P&amp;L assumptions'!F35</f>
        <v>-0.33387156402226859</v>
      </c>
      <c r="G12" s="68">
        <f>'P&amp;L assumptions'!G35</f>
        <v>-0.33842606887749882</v>
      </c>
      <c r="H12" s="31">
        <f>'P&amp;L assumptions'!I35</f>
        <v>-0.3</v>
      </c>
      <c r="I12" s="31">
        <f>'P&amp;L assumptions'!J35</f>
        <v>-0.3</v>
      </c>
      <c r="J12" s="31">
        <f>'P&amp;L assumptions'!K35</f>
        <v>-0.3</v>
      </c>
      <c r="K12" s="31">
        <f>'P&amp;L assumptions'!L35</f>
        <v>-0.3</v>
      </c>
      <c r="L12" s="31">
        <f>'P&amp;L assumptions'!M35</f>
        <v>-0.3</v>
      </c>
    </row>
    <row r="13" spans="2:14" ht="3.75" customHeight="1" x14ac:dyDescent="0.45">
      <c r="C13" s="33"/>
      <c r="D13" s="33"/>
      <c r="E13" s="33"/>
      <c r="F13" s="33"/>
      <c r="G13" s="33"/>
      <c r="H13" s="34"/>
      <c r="I13" s="34"/>
      <c r="J13" s="34"/>
      <c r="K13" s="34"/>
      <c r="L13" s="34"/>
    </row>
    <row r="14" spans="2:14" x14ac:dyDescent="0.45">
      <c r="B14" s="16" t="s">
        <v>56</v>
      </c>
      <c r="C14" s="16">
        <f t="shared" ref="C14:L14" si="4">SUM(C10:C11)</f>
        <v>12022.565420576544</v>
      </c>
      <c r="D14" s="16">
        <f t="shared" si="4"/>
        <v>9428.8170532060067</v>
      </c>
      <c r="E14" s="16">
        <f t="shared" si="4"/>
        <v>9974.5922012708725</v>
      </c>
      <c r="F14" s="16">
        <f t="shared" si="4"/>
        <v>12113.079318349864</v>
      </c>
      <c r="G14" s="16">
        <f t="shared" si="4"/>
        <v>15351.35996994585</v>
      </c>
      <c r="H14" s="16">
        <f t="shared" si="4"/>
        <v>17088.781072283389</v>
      </c>
      <c r="I14" s="16">
        <f t="shared" si="4"/>
        <v>18797.146516079541</v>
      </c>
      <c r="J14" s="16">
        <f t="shared" si="4"/>
        <v>20676.297253292018</v>
      </c>
      <c r="K14" s="16">
        <f t="shared" si="4"/>
        <v>22743.306689703619</v>
      </c>
      <c r="L14" s="16">
        <f t="shared" si="4"/>
        <v>25016.955059473286</v>
      </c>
    </row>
    <row r="15" spans="2:14" x14ac:dyDescent="0.45">
      <c r="C15" s="11"/>
      <c r="D15" s="11"/>
      <c r="E15" s="11"/>
      <c r="F15" s="11"/>
      <c r="G15" s="11"/>
    </row>
    <row r="16" spans="2:14" x14ac:dyDescent="0.45">
      <c r="C16" s="11"/>
      <c r="D16" s="11"/>
      <c r="E16" s="11"/>
      <c r="F16" s="11"/>
      <c r="G16" s="11"/>
    </row>
    <row r="17" spans="3:7" x14ac:dyDescent="0.45">
      <c r="C17" s="11"/>
      <c r="D17" s="11"/>
      <c r="E17" s="11"/>
      <c r="F17" s="11"/>
      <c r="G17" s="11"/>
    </row>
    <row r="18" spans="3:7" x14ac:dyDescent="0.45">
      <c r="C18" s="11"/>
      <c r="D18" s="11"/>
      <c r="E18" s="11"/>
      <c r="F18" s="11"/>
      <c r="G18" s="11"/>
    </row>
  </sheetData>
  <sheetProtection algorithmName="SHA-512" hashValue="yOuXqpxPnvW+UDeYb2En03CAf+mmH7xX706ZNlk0cF1vRWVC8CNl5fa91CCxSYPtHxI/3/tqpY1cbrdOwrge3Q==" saltValue="2eo2lMHXVgi/kOKlmP4LAw==" spinCount="100000" sheet="1" objects="1" scenarios="1"/>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workbookViewId="0">
      <selection activeCell="G16" sqref="G16"/>
    </sheetView>
  </sheetViews>
  <sheetFormatPr defaultColWidth="9.08203125" defaultRowHeight="18.5" x14ac:dyDescent="0.45"/>
  <cols>
    <col min="1" max="1" width="2" style="6" customWidth="1"/>
    <col min="2" max="2" width="37.08203125" style="6" bestFit="1" customWidth="1"/>
    <col min="3" max="12" width="14.58203125" style="6" customWidth="1"/>
    <col min="13" max="13" width="2" style="6" customWidth="1"/>
    <col min="14" max="16" width="9.08203125" style="6" customWidth="1"/>
    <col min="17" max="16384" width="9.08203125" style="6"/>
  </cols>
  <sheetData>
    <row r="1" spans="2:14" x14ac:dyDescent="0.45">
      <c r="B1" s="5" t="s">
        <v>57</v>
      </c>
    </row>
    <row r="3" spans="2:14" ht="38.25" customHeight="1" thickBot="1" x14ac:dyDescent="0.5">
      <c r="B3" s="7" t="s">
        <v>6</v>
      </c>
      <c r="C3" s="8" t="s">
        <v>7</v>
      </c>
      <c r="D3" s="8" t="s">
        <v>8</v>
      </c>
      <c r="E3" s="8" t="s">
        <v>9</v>
      </c>
      <c r="F3" s="8" t="s">
        <v>10</v>
      </c>
      <c r="G3" s="8" t="s">
        <v>11</v>
      </c>
      <c r="H3" s="10" t="s">
        <v>12</v>
      </c>
      <c r="I3" s="10" t="s">
        <v>13</v>
      </c>
      <c r="J3" s="10" t="s">
        <v>14</v>
      </c>
      <c r="K3" s="10" t="s">
        <v>15</v>
      </c>
      <c r="L3" s="10" t="s">
        <v>16</v>
      </c>
      <c r="N3" s="14" t="s">
        <v>47</v>
      </c>
    </row>
    <row r="4" spans="2:14" x14ac:dyDescent="0.45">
      <c r="B4" s="6" t="s">
        <v>58</v>
      </c>
      <c r="C4" s="33"/>
      <c r="D4" s="6">
        <f t="shared" ref="D4:L4" si="0">C7</f>
        <v>34214.199999999997</v>
      </c>
      <c r="E4" s="6">
        <f t="shared" si="0"/>
        <v>31286.400000000001</v>
      </c>
      <c r="F4" s="6">
        <f t="shared" si="0"/>
        <v>29183.1</v>
      </c>
      <c r="G4" s="6">
        <f t="shared" si="0"/>
        <v>27103.4</v>
      </c>
      <c r="H4" s="13">
        <f t="shared" si="0"/>
        <v>25058.2</v>
      </c>
      <c r="I4" s="13">
        <f t="shared" si="0"/>
        <v>23175.152412043964</v>
      </c>
      <c r="J4" s="13">
        <f t="shared" si="0"/>
        <v>22128.574163245688</v>
      </c>
      <c r="K4" s="13">
        <f t="shared" si="0"/>
        <v>22128.574163245688</v>
      </c>
      <c r="L4" s="13">
        <f t="shared" si="0"/>
        <v>22128.574163245688</v>
      </c>
    </row>
    <row r="5" spans="2:14" x14ac:dyDescent="0.45">
      <c r="B5" s="6" t="s">
        <v>59</v>
      </c>
      <c r="C5" s="6">
        <f>'P&amp;L assumptions'!C28</f>
        <v>-3375.4</v>
      </c>
      <c r="D5" s="6">
        <f>'P&amp;L assumptions'!D28</f>
        <v>-3472.6</v>
      </c>
      <c r="E5" s="6">
        <f>'P&amp;L assumptions'!E28</f>
        <v>-3536.7</v>
      </c>
      <c r="F5" s="6">
        <f>'P&amp;L assumptions'!F28</f>
        <v>-3422.5</v>
      </c>
      <c r="G5" s="6">
        <f>'P&amp;L assumptions'!G28</f>
        <v>-3356.7</v>
      </c>
      <c r="H5" s="13">
        <f>'P&amp;L assumptions'!I28</f>
        <v>-4367.2792343360388</v>
      </c>
      <c r="I5" s="13">
        <f>'P&amp;L assumptions'!J28</f>
        <v>-4803.8761393926115</v>
      </c>
      <c r="J5" s="13">
        <f>'P&amp;L assumptions'!K28</f>
        <v>-5284.119637047691</v>
      </c>
      <c r="K5" s="13">
        <f>'P&amp;L assumptions'!L28</f>
        <v>-5812.3730771633482</v>
      </c>
      <c r="L5" s="13">
        <f>'P&amp;L assumptions'!M28</f>
        <v>-6393.4360136873665</v>
      </c>
      <c r="M5" s="11"/>
    </row>
    <row r="6" spans="2:14" x14ac:dyDescent="0.45">
      <c r="B6" s="6" t="s">
        <v>39</v>
      </c>
      <c r="C6" s="33"/>
      <c r="D6" s="6">
        <f>D7-D4-D5</f>
        <v>544.80000000000427</v>
      </c>
      <c r="E6" s="6">
        <f>E7-E4-E5</f>
        <v>1433.3999999999969</v>
      </c>
      <c r="F6" s="6">
        <f>F7-F4-F5</f>
        <v>1342.8000000000029</v>
      </c>
      <c r="G6" s="6">
        <f>G7-G4-G5</f>
        <v>1311.4999999999991</v>
      </c>
      <c r="H6" s="13">
        <f>'BS assumptions'!H14</f>
        <v>2484.2316463799998</v>
      </c>
      <c r="I6" s="13">
        <f>'BS assumptions'!I14</f>
        <v>3757.2978905943355</v>
      </c>
      <c r="J6" s="13">
        <f>'BS assumptions'!J14</f>
        <v>5284.119637047691</v>
      </c>
      <c r="K6" s="13">
        <f>'BS assumptions'!K14</f>
        <v>5812.3730771633482</v>
      </c>
      <c r="L6" s="13">
        <f>'BS assumptions'!L14</f>
        <v>6393.4360136873665</v>
      </c>
    </row>
    <row r="7" spans="2:14" ht="19.5" customHeight="1" thickBot="1" x14ac:dyDescent="0.5">
      <c r="B7" s="17" t="s">
        <v>60</v>
      </c>
      <c r="C7" s="17">
        <f>'BS assumptions'!C13</f>
        <v>34214.199999999997</v>
      </c>
      <c r="D7" s="17">
        <f>'BS assumptions'!D13</f>
        <v>31286.400000000001</v>
      </c>
      <c r="E7" s="17">
        <f>'BS assumptions'!E13</f>
        <v>29183.1</v>
      </c>
      <c r="F7" s="17">
        <f>'BS assumptions'!F13</f>
        <v>27103.4</v>
      </c>
      <c r="G7" s="17">
        <f>'BS assumptions'!G13</f>
        <v>25058.2</v>
      </c>
      <c r="H7" s="78">
        <f>SUM(H4:H6)</f>
        <v>23175.152412043964</v>
      </c>
      <c r="I7" s="78">
        <f>SUM(I4:I6)</f>
        <v>22128.574163245688</v>
      </c>
      <c r="J7" s="78">
        <f>SUM(J4:J6)</f>
        <v>22128.574163245688</v>
      </c>
      <c r="K7" s="78">
        <f>SUM(K4:K6)</f>
        <v>22128.574163245688</v>
      </c>
      <c r="L7" s="78">
        <f>SUM(L4:L6)</f>
        <v>22128.574163245688</v>
      </c>
    </row>
    <row r="8" spans="2:14" x14ac:dyDescent="0.45">
      <c r="B8" s="5"/>
      <c r="C8" s="40"/>
      <c r="D8" s="40"/>
      <c r="E8" s="40"/>
      <c r="F8" s="40"/>
      <c r="G8" s="40"/>
      <c r="H8" s="41"/>
      <c r="I8" s="41"/>
      <c r="J8" s="41"/>
      <c r="K8" s="41"/>
      <c r="L8" s="41"/>
    </row>
    <row r="9" spans="2:14" x14ac:dyDescent="0.45">
      <c r="B9" s="6" t="s">
        <v>36</v>
      </c>
      <c r="C9" s="6">
        <f>'BS assumptions'!C10</f>
        <v>8441</v>
      </c>
      <c r="D9" s="6">
        <f>'BS assumptions'!D10</f>
        <v>8208.1</v>
      </c>
      <c r="E9" s="6">
        <f>'BS assumptions'!E10</f>
        <v>9400.6</v>
      </c>
      <c r="F9" s="6">
        <f>'BS assumptions'!F10</f>
        <v>9024.7000000000007</v>
      </c>
      <c r="G9" s="6">
        <f>'BS assumptions'!G10</f>
        <v>9655.5</v>
      </c>
      <c r="H9" s="13">
        <f>'BS assumptions'!H10</f>
        <v>11339.619626401762</v>
      </c>
      <c r="I9" s="13">
        <f>'BS assumptions'!I10</f>
        <v>12473.241400453146</v>
      </c>
      <c r="J9" s="13">
        <f>'BS assumptions'!J10</f>
        <v>13720.191343256445</v>
      </c>
      <c r="K9" s="13">
        <f>'BS assumptions'!K10</f>
        <v>15091.798871841789</v>
      </c>
      <c r="L9" s="13">
        <f>'BS assumptions'!L10</f>
        <v>16600.526005059812</v>
      </c>
    </row>
    <row r="10" spans="2:14" x14ac:dyDescent="0.45">
      <c r="B10" s="6" t="s">
        <v>61</v>
      </c>
      <c r="C10" s="6">
        <f>'BS assumptions'!C4</f>
        <v>991</v>
      </c>
      <c r="D10" s="6">
        <f>'BS assumptions'!D4</f>
        <v>784.2</v>
      </c>
      <c r="E10" s="6">
        <f>'BS assumptions'!E4</f>
        <v>979.3</v>
      </c>
      <c r="F10" s="6">
        <f>'BS assumptions'!F4</f>
        <v>889.7</v>
      </c>
      <c r="G10" s="6">
        <f>'BS assumptions'!G4</f>
        <v>1245.9000000000001</v>
      </c>
      <c r="H10" s="13">
        <f>'BS assumptions'!H4</f>
        <v>1249.1417024326324</v>
      </c>
      <c r="I10" s="13">
        <f>'BS assumptions'!I4</f>
        <v>1374.0183984248224</v>
      </c>
      <c r="J10" s="13">
        <f>'BS assumptions'!J4</f>
        <v>1511.3790177153519</v>
      </c>
      <c r="K10" s="13">
        <f>'BS assumptions'!K4</f>
        <v>1662.4715781163554</v>
      </c>
      <c r="L10" s="13">
        <f>'BS assumptions'!L4</f>
        <v>1828.6688617806471</v>
      </c>
    </row>
    <row r="11" spans="2:14" x14ac:dyDescent="0.45">
      <c r="B11" s="6" t="s">
        <v>62</v>
      </c>
      <c r="C11" s="6">
        <f>'BS assumptions'!C7</f>
        <v>7287.1</v>
      </c>
      <c r="D11" s="6">
        <f>'BS assumptions'!D7</f>
        <v>7494.1</v>
      </c>
      <c r="E11" s="6">
        <f>'BS assumptions'!E7</f>
        <v>7991.6</v>
      </c>
      <c r="F11" s="6">
        <f>'BS assumptions'!F7</f>
        <v>9846.4</v>
      </c>
      <c r="G11" s="6">
        <f>'BS assumptions'!G7</f>
        <v>12403.7</v>
      </c>
      <c r="H11" s="13">
        <f>'BS assumptions'!H7</f>
        <v>11302.848988814334</v>
      </c>
      <c r="I11" s="13">
        <f>'BS assumptions'!I7</f>
        <v>12432.794802226103</v>
      </c>
      <c r="J11" s="13">
        <f>'BS assumptions'!J7</f>
        <v>13675.701298604645</v>
      </c>
      <c r="K11" s="13">
        <f>'BS assumptions'!K7</f>
        <v>15042.86115742615</v>
      </c>
      <c r="L11" s="13">
        <f>'BS assumptions'!L7</f>
        <v>16546.695987334038</v>
      </c>
    </row>
    <row r="12" spans="2:14" ht="19.5" customHeight="1" thickBot="1" x14ac:dyDescent="0.5">
      <c r="B12" s="17" t="s">
        <v>63</v>
      </c>
      <c r="C12" s="17">
        <f t="shared" ref="C12:L12" si="1">SUM(C9:C10)-C11</f>
        <v>2144.8999999999996</v>
      </c>
      <c r="D12" s="17">
        <f t="shared" si="1"/>
        <v>1498.2000000000007</v>
      </c>
      <c r="E12" s="17">
        <f t="shared" si="1"/>
        <v>2388.2999999999993</v>
      </c>
      <c r="F12" s="17">
        <f t="shared" si="1"/>
        <v>68.000000000001819</v>
      </c>
      <c r="G12" s="17">
        <f t="shared" si="1"/>
        <v>-1502.3000000000011</v>
      </c>
      <c r="H12" s="78">
        <f t="shared" si="1"/>
        <v>1285.9123400200606</v>
      </c>
      <c r="I12" s="78">
        <f t="shared" si="1"/>
        <v>1414.4649966518646</v>
      </c>
      <c r="J12" s="78">
        <f t="shared" si="1"/>
        <v>1555.8690623671519</v>
      </c>
      <c r="K12" s="78">
        <f t="shared" si="1"/>
        <v>1711.4092925319947</v>
      </c>
      <c r="L12" s="78">
        <f t="shared" si="1"/>
        <v>1882.4988795064201</v>
      </c>
    </row>
    <row r="13" spans="2:14" ht="19.5" customHeight="1" thickBot="1" x14ac:dyDescent="0.5">
      <c r="B13" s="17" t="s">
        <v>64</v>
      </c>
      <c r="C13" s="17"/>
      <c r="D13" s="17">
        <f t="shared" ref="D13:L13" si="2">D12-C12</f>
        <v>-646.69999999999891</v>
      </c>
      <c r="E13" s="17">
        <f t="shared" si="2"/>
        <v>890.09999999999854</v>
      </c>
      <c r="F13" s="17">
        <f t="shared" si="2"/>
        <v>-2320.2999999999975</v>
      </c>
      <c r="G13" s="17">
        <f t="shared" si="2"/>
        <v>-1570.3000000000029</v>
      </c>
      <c r="H13" s="17">
        <f t="shared" si="2"/>
        <v>2788.2123400200617</v>
      </c>
      <c r="I13" s="17">
        <f t="shared" si="2"/>
        <v>128.55265663180398</v>
      </c>
      <c r="J13" s="17">
        <f t="shared" si="2"/>
        <v>141.40406571528729</v>
      </c>
      <c r="K13" s="17">
        <f t="shared" si="2"/>
        <v>155.5402301648428</v>
      </c>
      <c r="L13" s="17">
        <f t="shared" si="2"/>
        <v>171.0895869744254</v>
      </c>
    </row>
  </sheetData>
  <sheetProtection algorithmName="SHA-512" hashValue="PoS6Il6ao4Y7K5Gmd5GAXn1Sf4rjoVcPTROWR1/YE/ST8ID6XeGkDX0qJiXku9ihqVqTMlbAQ6hkt9av42/XAg==" saltValue="iCtIMFXdAZlymjuxRfm3/g==" spinCount="100000" sheet="1" objects="1" scenarios="1"/>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10"/>
  <sheetViews>
    <sheetView showGridLines="0" workbookViewId="0">
      <selection activeCell="C9" sqref="C9"/>
    </sheetView>
  </sheetViews>
  <sheetFormatPr defaultColWidth="9.08203125" defaultRowHeight="18.5" x14ac:dyDescent="0.45"/>
  <cols>
    <col min="1" max="1" width="2" style="18" customWidth="1"/>
    <col min="2" max="2" width="34.33203125" style="18" bestFit="1" customWidth="1"/>
    <col min="3" max="11" width="14.5" style="18" customWidth="1"/>
    <col min="12" max="12" width="2" style="18" customWidth="1"/>
    <col min="13" max="15" width="9.08203125" style="18" customWidth="1"/>
    <col min="16" max="16384" width="9.08203125" style="18"/>
  </cols>
  <sheetData>
    <row r="1" spans="2:13" x14ac:dyDescent="0.45">
      <c r="B1" s="5" t="s">
        <v>65</v>
      </c>
    </row>
    <row r="3" spans="2:13" ht="38.25" customHeight="1" thickBot="1" x14ac:dyDescent="0.5">
      <c r="B3" s="7" t="s">
        <v>6</v>
      </c>
      <c r="C3" s="8" t="s">
        <v>8</v>
      </c>
      <c r="D3" s="8" t="s">
        <v>9</v>
      </c>
      <c r="E3" s="8" t="s">
        <v>10</v>
      </c>
      <c r="F3" s="8" t="s">
        <v>11</v>
      </c>
      <c r="G3" s="10" t="s">
        <v>12</v>
      </c>
      <c r="H3" s="10" t="s">
        <v>13</v>
      </c>
      <c r="I3" s="10" t="s">
        <v>14</v>
      </c>
      <c r="J3" s="10" t="s">
        <v>15</v>
      </c>
      <c r="K3" s="10" t="s">
        <v>16</v>
      </c>
      <c r="L3" s="6"/>
      <c r="M3" s="14" t="s">
        <v>47</v>
      </c>
    </row>
    <row r="4" spans="2:13" x14ac:dyDescent="0.45">
      <c r="B4" s="6" t="s">
        <v>66</v>
      </c>
      <c r="C4" s="6">
        <f>'P&amp;L'!D14</f>
        <v>9428.8170532060067</v>
      </c>
      <c r="D4" s="6">
        <f>'P&amp;L'!E14</f>
        <v>9974.5922012708725</v>
      </c>
      <c r="E4" s="6">
        <f>'P&amp;L'!F14</f>
        <v>12113.079318349864</v>
      </c>
      <c r="F4" s="6">
        <f>'P&amp;L'!G14</f>
        <v>15351.35996994585</v>
      </c>
      <c r="G4" s="13">
        <f>'P&amp;L'!H14</f>
        <v>17088.781072283389</v>
      </c>
      <c r="H4" s="13">
        <f>'P&amp;L'!I14</f>
        <v>18797.146516079541</v>
      </c>
      <c r="I4" s="13">
        <f>'P&amp;L'!J14</f>
        <v>20676.297253292018</v>
      </c>
      <c r="J4" s="13">
        <f>'P&amp;L'!K14</f>
        <v>22743.306689703619</v>
      </c>
      <c r="K4" s="13">
        <f>'P&amp;L'!L14</f>
        <v>25016.955059473286</v>
      </c>
    </row>
    <row r="5" spans="2:13" x14ac:dyDescent="0.45">
      <c r="B5" s="6" t="s">
        <v>67</v>
      </c>
      <c r="C5" s="6">
        <f>-('P&amp;L assumptions'!D28)</f>
        <v>3472.6</v>
      </c>
      <c r="D5" s="6">
        <f>-('P&amp;L assumptions'!E28)</f>
        <v>3536.7</v>
      </c>
      <c r="E5" s="6">
        <f>-('P&amp;L assumptions'!F28)</f>
        <v>3422.5</v>
      </c>
      <c r="F5" s="6">
        <f>-('P&amp;L assumptions'!G28)</f>
        <v>3356.7</v>
      </c>
      <c r="G5" s="13">
        <f>-'P&amp;L assumptions'!I28</f>
        <v>4367.2792343360388</v>
      </c>
      <c r="H5" s="13">
        <f>-'P&amp;L assumptions'!J28</f>
        <v>4803.8761393926115</v>
      </c>
      <c r="I5" s="13">
        <f>-'P&amp;L assumptions'!K28</f>
        <v>5284.119637047691</v>
      </c>
      <c r="J5" s="13">
        <f>-'P&amp;L assumptions'!L28</f>
        <v>5812.3730771633482</v>
      </c>
      <c r="K5" s="13">
        <f>-'P&amp;L assumptions'!M28</f>
        <v>6393.4360136873665</v>
      </c>
    </row>
    <row r="6" spans="2:13" x14ac:dyDescent="0.45">
      <c r="B6" s="15" t="s">
        <v>68</v>
      </c>
      <c r="C6" s="15">
        <f t="shared" ref="C6:K6" si="0">SUM(C4:C5)</f>
        <v>12901.417053206007</v>
      </c>
      <c r="D6" s="15">
        <f t="shared" si="0"/>
        <v>13511.292201270873</v>
      </c>
      <c r="E6" s="15">
        <f t="shared" si="0"/>
        <v>15535.579318349864</v>
      </c>
      <c r="F6" s="15">
        <f t="shared" si="0"/>
        <v>18708.059969945851</v>
      </c>
      <c r="G6" s="75">
        <f t="shared" si="0"/>
        <v>21456.060306619427</v>
      </c>
      <c r="H6" s="75">
        <f t="shared" si="0"/>
        <v>23601.022655472152</v>
      </c>
      <c r="I6" s="75">
        <f t="shared" si="0"/>
        <v>25960.416890339708</v>
      </c>
      <c r="J6" s="75">
        <f t="shared" si="0"/>
        <v>28555.679766866968</v>
      </c>
      <c r="K6" s="75">
        <f t="shared" si="0"/>
        <v>31410.391073160652</v>
      </c>
    </row>
    <row r="7" spans="2:13" x14ac:dyDescent="0.45">
      <c r="B7" s="6" t="s">
        <v>69</v>
      </c>
      <c r="C7" s="6">
        <f>-(BS!D6)</f>
        <v>-544.80000000000427</v>
      </c>
      <c r="D7" s="6">
        <f>-(BS!E6)</f>
        <v>-1433.3999999999969</v>
      </c>
      <c r="E7" s="6">
        <f>-(BS!F6)</f>
        <v>-1342.8000000000029</v>
      </c>
      <c r="F7" s="6">
        <f>-(BS!G6)</f>
        <v>-1311.4999999999991</v>
      </c>
      <c r="G7" s="13">
        <f>-(BS!H6)</f>
        <v>-2484.2316463799998</v>
      </c>
      <c r="H7" s="13">
        <f>-(BS!I6)</f>
        <v>-3757.2978905943355</v>
      </c>
      <c r="I7" s="13">
        <f>-(BS!J6)</f>
        <v>-5284.119637047691</v>
      </c>
      <c r="J7" s="13">
        <f>-(BS!K6)</f>
        <v>-5812.3730771633482</v>
      </c>
      <c r="K7" s="13">
        <f>-(BS!L6)</f>
        <v>-6393.4360136873665</v>
      </c>
    </row>
    <row r="8" spans="2:13" x14ac:dyDescent="0.45">
      <c r="B8" s="6" t="s">
        <v>70</v>
      </c>
      <c r="C8" s="6">
        <f>-(BS!D13)</f>
        <v>646.69999999999891</v>
      </c>
      <c r="D8" s="6">
        <f>-(BS!E13)</f>
        <v>-890.09999999999854</v>
      </c>
      <c r="E8" s="6">
        <f>-(BS!F13)</f>
        <v>2320.2999999999975</v>
      </c>
      <c r="F8" s="6">
        <f>-(BS!G13)</f>
        <v>1570.3000000000029</v>
      </c>
      <c r="G8" s="13">
        <f>-(BS!H13)</f>
        <v>-2788.2123400200617</v>
      </c>
      <c r="H8" s="13">
        <f>-(BS!I13)</f>
        <v>-128.55265663180398</v>
      </c>
      <c r="I8" s="13">
        <f>-(BS!J13)</f>
        <v>-141.40406571528729</v>
      </c>
      <c r="J8" s="13">
        <f>-(BS!K13)</f>
        <v>-155.5402301648428</v>
      </c>
      <c r="K8" s="13">
        <f>-(BS!L13)</f>
        <v>-171.0895869744254</v>
      </c>
    </row>
    <row r="9" spans="2:13" ht="19.5" customHeight="1" thickBot="1" x14ac:dyDescent="0.5">
      <c r="B9" s="22" t="s">
        <v>71</v>
      </c>
      <c r="C9" s="22">
        <f t="shared" ref="C9:K9" si="1">SUM(C6:C8)</f>
        <v>13003.317053206001</v>
      </c>
      <c r="D9" s="22">
        <f t="shared" si="1"/>
        <v>11187.792201270877</v>
      </c>
      <c r="E9" s="22">
        <f t="shared" si="1"/>
        <v>16513.079318349861</v>
      </c>
      <c r="F9" s="22">
        <f t="shared" si="1"/>
        <v>18966.859969945854</v>
      </c>
      <c r="G9" s="79">
        <f t="shared" si="1"/>
        <v>16183.616320219367</v>
      </c>
      <c r="H9" s="79">
        <f t="shared" si="1"/>
        <v>19715.172108246014</v>
      </c>
      <c r="I9" s="79">
        <f t="shared" si="1"/>
        <v>20534.89318757673</v>
      </c>
      <c r="J9" s="79">
        <f t="shared" si="1"/>
        <v>22587.766459538776</v>
      </c>
      <c r="K9" s="79">
        <f t="shared" si="1"/>
        <v>24845.865472498859</v>
      </c>
    </row>
    <row r="10" spans="2:13" ht="19.5" customHeight="1" thickTop="1" x14ac:dyDescent="0.45"/>
  </sheetData>
  <sheetProtection algorithmName="SHA-512" hashValue="HlBpcN8NOfSgRB5bnQ5t4ib9PA080OvFRtNcSjOTP/F3XgmVWRn9DV8ibQab5760qYm1ZBPj5Sw4O2xctr0slg==" saltValue="lxASZe3g0OLk80AHA1j9GA==" spinCount="100000" sheet="1" objects="1" scenarios="1"/>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T46"/>
  <sheetViews>
    <sheetView showGridLines="0" zoomScale="88" workbookViewId="0">
      <selection activeCell="D7" sqref="D7"/>
    </sheetView>
  </sheetViews>
  <sheetFormatPr defaultColWidth="9.08203125" defaultRowHeight="18.5" x14ac:dyDescent="0.45"/>
  <cols>
    <col min="1" max="1" width="2" style="6" customWidth="1"/>
    <col min="2" max="2" width="43" style="6" bestFit="1" customWidth="1"/>
    <col min="3" max="3" width="14.33203125" style="6" bestFit="1" customWidth="1"/>
    <col min="4" max="4" width="18.5" style="6" bestFit="1" customWidth="1"/>
    <col min="5" max="12" width="12.33203125" style="6" customWidth="1"/>
    <col min="13" max="13" width="33.5" style="6" bestFit="1" customWidth="1"/>
    <col min="14" max="20" width="10.25" style="6" bestFit="1" customWidth="1"/>
    <col min="21" max="21" width="9.08203125" style="6" customWidth="1"/>
    <col min="22" max="16384" width="9.08203125" style="6"/>
  </cols>
  <sheetData>
    <row r="1" spans="2:20" x14ac:dyDescent="0.45">
      <c r="B1" s="5" t="s">
        <v>72</v>
      </c>
      <c r="C1" s="45"/>
    </row>
    <row r="2" spans="2:20" ht="19.5" customHeight="1" thickBot="1" x14ac:dyDescent="0.5">
      <c r="B2" s="5"/>
      <c r="C2" s="45"/>
      <c r="G2" s="143" t="s">
        <v>1</v>
      </c>
      <c r="H2" s="51" t="s">
        <v>5</v>
      </c>
      <c r="I2" s="80">
        <v>0.01</v>
      </c>
    </row>
    <row r="3" spans="2:20" x14ac:dyDescent="0.45">
      <c r="B3" s="60" t="s">
        <v>73</v>
      </c>
      <c r="C3" s="139">
        <f>WACC!C22</f>
        <v>0.10972145804460233</v>
      </c>
      <c r="G3" s="141"/>
      <c r="H3" s="52" t="s">
        <v>74</v>
      </c>
      <c r="I3" s="81">
        <v>0.02</v>
      </c>
    </row>
    <row r="4" spans="2:20" ht="19.5" customHeight="1" thickBot="1" x14ac:dyDescent="0.5">
      <c r="B4" s="61" t="s">
        <v>75</v>
      </c>
      <c r="C4" s="170">
        <v>2</v>
      </c>
      <c r="G4" s="142"/>
      <c r="H4" s="53" t="s">
        <v>2</v>
      </c>
      <c r="I4" s="82">
        <v>0.03</v>
      </c>
    </row>
    <row r="5" spans="2:20" x14ac:dyDescent="0.45">
      <c r="B5" s="21"/>
      <c r="C5" s="45"/>
    </row>
    <row r="6" spans="2:20" ht="38.25" customHeight="1" thickBot="1" x14ac:dyDescent="0.5">
      <c r="B6" s="7" t="s">
        <v>6</v>
      </c>
      <c r="C6" s="8"/>
      <c r="D6" s="8" t="s">
        <v>8</v>
      </c>
      <c r="E6" s="8" t="s">
        <v>9</v>
      </c>
      <c r="F6" s="8" t="s">
        <v>10</v>
      </c>
      <c r="G6" s="8" t="s">
        <v>11</v>
      </c>
      <c r="H6" s="10" t="s">
        <v>12</v>
      </c>
      <c r="I6" s="10" t="s">
        <v>13</v>
      </c>
      <c r="J6" s="10" t="s">
        <v>14</v>
      </c>
      <c r="K6" s="10" t="s">
        <v>15</v>
      </c>
      <c r="L6" s="10" t="s">
        <v>16</v>
      </c>
      <c r="M6" s="14" t="s">
        <v>47</v>
      </c>
    </row>
    <row r="7" spans="2:20" x14ac:dyDescent="0.45">
      <c r="B7" s="21" t="s">
        <v>71</v>
      </c>
      <c r="D7" s="6">
        <f>'Cash Flow'!C9</f>
        <v>13003.317053206001</v>
      </c>
      <c r="E7" s="6">
        <f>'Cash Flow'!D9</f>
        <v>11187.792201270877</v>
      </c>
      <c r="F7" s="6">
        <f>'Cash Flow'!E9</f>
        <v>16513.079318349861</v>
      </c>
      <c r="G7" s="6">
        <f>'Cash Flow'!F9</f>
        <v>18966.859969945854</v>
      </c>
      <c r="H7" s="6">
        <f>'Cash Flow'!G9</f>
        <v>16183.616320219367</v>
      </c>
      <c r="I7" s="6">
        <f>'Cash Flow'!H9</f>
        <v>19715.172108246014</v>
      </c>
      <c r="J7" s="6">
        <f>'Cash Flow'!I9</f>
        <v>20534.89318757673</v>
      </c>
      <c r="K7" s="6">
        <f>'Cash Flow'!J9</f>
        <v>22587.766459538776</v>
      </c>
      <c r="L7" s="6">
        <f>'Cash Flow'!K9</f>
        <v>24845.865472498859</v>
      </c>
    </row>
    <row r="8" spans="2:20" x14ac:dyDescent="0.45">
      <c r="B8" s="21" t="s">
        <v>76</v>
      </c>
      <c r="H8" s="83">
        <f>1/(1+$C$3)^1</f>
        <v>0.90112702854467785</v>
      </c>
      <c r="I8" s="83">
        <f>1/(1+$C$3)^2</f>
        <v>0.81202992157376064</v>
      </c>
      <c r="J8" s="83">
        <f>1/(1+$C$3)^3</f>
        <v>0.73174211031713077</v>
      </c>
      <c r="K8" s="83">
        <f>1/(1+$C$3)^4</f>
        <v>0.65939259353108781</v>
      </c>
      <c r="L8" s="83">
        <f>1/(1+$C$3)^5</f>
        <v>0.59419648845303785</v>
      </c>
    </row>
    <row r="9" spans="2:20" ht="19.5" customHeight="1" thickBot="1" x14ac:dyDescent="0.5">
      <c r="B9" s="24" t="s">
        <v>77</v>
      </c>
      <c r="C9" s="24"/>
      <c r="D9" s="24"/>
      <c r="E9" s="24"/>
      <c r="F9" s="24"/>
      <c r="G9" s="24"/>
      <c r="H9" s="24">
        <f>H7*H8</f>
        <v>14583.494085746432</v>
      </c>
      <c r="I9" s="24">
        <f>I7*I8</f>
        <v>16009.309660872204</v>
      </c>
      <c r="J9" s="24">
        <f>J7*J8</f>
        <v>15026.246076214269</v>
      </c>
      <c r="K9" s="24">
        <f>K7*K8</f>
        <v>14894.20590782979</v>
      </c>
      <c r="L9" s="24">
        <f>L7*L8</f>
        <v>14763.326016335401</v>
      </c>
    </row>
    <row r="10" spans="2:20" ht="19.5" customHeight="1" thickTop="1" x14ac:dyDescent="0.45"/>
    <row r="11" spans="2:20" ht="26.25" customHeight="1" x14ac:dyDescent="0.6">
      <c r="C11" s="20"/>
      <c r="D11" s="19"/>
      <c r="M11" s="92" t="s">
        <v>78</v>
      </c>
      <c r="N11" s="146" t="s">
        <v>79</v>
      </c>
      <c r="O11" s="147"/>
      <c r="P11" s="147"/>
      <c r="Q11" s="147"/>
      <c r="R11" s="147"/>
      <c r="S11" s="147"/>
      <c r="T11" s="145"/>
    </row>
    <row r="12" spans="2:20" x14ac:dyDescent="0.45">
      <c r="C12" s="20"/>
      <c r="M12" s="140" t="s">
        <v>80</v>
      </c>
      <c r="N12" s="54">
        <f>C17</f>
        <v>243113.71753202047</v>
      </c>
      <c r="O12" s="84">
        <v>0.01</v>
      </c>
      <c r="P12" s="84">
        <v>0.02</v>
      </c>
      <c r="Q12" s="84">
        <v>0.03</v>
      </c>
      <c r="R12" s="84">
        <v>0.04</v>
      </c>
      <c r="S12" s="84">
        <v>0.05</v>
      </c>
      <c r="T12" s="84">
        <v>0.06</v>
      </c>
    </row>
    <row r="13" spans="2:20" x14ac:dyDescent="0.45">
      <c r="B13" s="49" t="s">
        <v>81</v>
      </c>
      <c r="C13" s="46">
        <f>SUM(H9:L9)</f>
        <v>75276.581746998098</v>
      </c>
      <c r="D13" s="85">
        <f>C13/C17</f>
        <v>0.30963527073326674</v>
      </c>
      <c r="M13" s="141"/>
      <c r="N13" s="84">
        <f>WACC!$C$22-0.015</f>
        <v>9.472145804460233E-2</v>
      </c>
      <c r="O13" s="86">
        <f t="dataTable" ref="O13:T18" dt2D="1" dtr="1" r1="C14" r2="C3" ca="1"/>
        <v>266809.75378945144</v>
      </c>
      <c r="P13" s="86">
        <v>294137.31316829968</v>
      </c>
      <c r="Q13" s="86">
        <v>329909.53995869332</v>
      </c>
      <c r="R13" s="86">
        <v>378756.06267199042</v>
      </c>
      <c r="S13" s="86">
        <v>449447.36632448714</v>
      </c>
      <c r="T13" s="55">
        <v>560857.75703933474</v>
      </c>
    </row>
    <row r="14" spans="2:20" x14ac:dyDescent="0.45">
      <c r="B14" s="49" t="s">
        <v>82</v>
      </c>
      <c r="C14" s="87">
        <f>CHOOSE(C4,I2,I3,I4)</f>
        <v>0.02</v>
      </c>
      <c r="D14" s="47"/>
      <c r="M14" s="141"/>
      <c r="N14" s="84">
        <f>WACC!$C$22-0.01</f>
        <v>9.9721458044602335E-2</v>
      </c>
      <c r="O14" s="55">
        <v>251234.47282809019</v>
      </c>
      <c r="P14" s="55">
        <v>274983.82551592228</v>
      </c>
      <c r="Q14" s="55">
        <v>305545.81619323511</v>
      </c>
      <c r="R14" s="55">
        <v>346342.65098787937</v>
      </c>
      <c r="S14" s="55">
        <v>403549.63801822334</v>
      </c>
      <c r="T14" s="55">
        <v>489560.69712774816</v>
      </c>
    </row>
    <row r="15" spans="2:20" x14ac:dyDescent="0.45">
      <c r="B15" s="49" t="s">
        <v>83</v>
      </c>
      <c r="C15" s="46">
        <f>(L7*(1+C14))/(C3-C14)</f>
        <v>282460.66586825234</v>
      </c>
      <c r="D15" s="47"/>
      <c r="M15" s="141"/>
      <c r="N15" s="84">
        <f>WACC!$C$22-0.005</f>
        <v>0.10472145804460233</v>
      </c>
      <c r="O15" s="55">
        <v>237315.23088710004</v>
      </c>
      <c r="P15" s="55">
        <v>258102.67881758406</v>
      </c>
      <c r="Q15" s="55">
        <v>284454.11023406364</v>
      </c>
      <c r="R15" s="55">
        <v>318948.56939207518</v>
      </c>
      <c r="S15" s="55">
        <v>366050.31658320013</v>
      </c>
      <c r="T15" s="55">
        <v>434216.55909741961</v>
      </c>
    </row>
    <row r="16" spans="2:20" x14ac:dyDescent="0.45">
      <c r="B16" s="49" t="s">
        <v>84</v>
      </c>
      <c r="C16" s="46">
        <f>C15*L8</f>
        <v>167837.13578502237</v>
      </c>
      <c r="D16" s="85">
        <f>C16/C17</f>
        <v>0.6903647292667332</v>
      </c>
      <c r="M16" s="141"/>
      <c r="N16" s="84">
        <f>WACC!$C$22</f>
        <v>0.10972145804460233</v>
      </c>
      <c r="O16" s="55">
        <v>224802.66739477855</v>
      </c>
      <c r="P16" s="55">
        <v>243113.71753202047</v>
      </c>
      <c r="Q16" s="55">
        <v>266018.52462915075</v>
      </c>
      <c r="R16" s="55">
        <v>295493.70697072218</v>
      </c>
      <c r="S16" s="55">
        <v>334839.77435316402</v>
      </c>
      <c r="T16" s="55">
        <v>390012.43609941017</v>
      </c>
    </row>
    <row r="17" spans="2:20" ht="19.5" customHeight="1" thickBot="1" x14ac:dyDescent="0.5">
      <c r="B17" s="50" t="s">
        <v>78</v>
      </c>
      <c r="C17" s="48">
        <f>C13+C16</f>
        <v>243113.71753202047</v>
      </c>
      <c r="D17" s="48"/>
      <c r="M17" s="141"/>
      <c r="N17" s="84">
        <f>WACC!$C$22+0.005</f>
        <v>0.11472145804460233</v>
      </c>
      <c r="O17" s="55">
        <v>213495.05247588796</v>
      </c>
      <c r="P17" s="55">
        <v>229717.0611626461</v>
      </c>
      <c r="Q17" s="55">
        <v>249768.56217901397</v>
      </c>
      <c r="R17" s="55">
        <v>275187.06259317172</v>
      </c>
      <c r="S17" s="55">
        <v>308460.29965329339</v>
      </c>
      <c r="T17" s="55">
        <v>353894.48353358242</v>
      </c>
    </row>
    <row r="18" spans="2:20" ht="19.5" customHeight="1" thickTop="1" x14ac:dyDescent="0.45">
      <c r="M18" s="142"/>
      <c r="N18" s="84">
        <f>WACC!$C$22+0.01</f>
        <v>0.11972145804460232</v>
      </c>
      <c r="O18" s="55">
        <v>203227.43408550334</v>
      </c>
      <c r="P18" s="55">
        <v>217672.9792194842</v>
      </c>
      <c r="Q18" s="55">
        <v>235338.61137585825</v>
      </c>
      <c r="R18" s="55">
        <v>257436.08223405102</v>
      </c>
      <c r="S18" s="55">
        <v>285872.33930754528</v>
      </c>
      <c r="T18" s="55">
        <v>323831.55781050003</v>
      </c>
    </row>
    <row r="20" spans="2:20" x14ac:dyDescent="0.45">
      <c r="B20" s="46" t="s">
        <v>85</v>
      </c>
      <c r="C20" s="46">
        <f>'BS Source'!G28+'BS Source'!G36</f>
        <v>351.4</v>
      </c>
    </row>
    <row r="21" spans="2:20" ht="221.25" customHeight="1" x14ac:dyDescent="0.45">
      <c r="B21" s="64" t="s">
        <v>86</v>
      </c>
      <c r="C21" s="88">
        <f>'BS Source'!G31+'BS Source'!G40</f>
        <v>26221.8</v>
      </c>
      <c r="D21" s="93" t="s">
        <v>87</v>
      </c>
    </row>
    <row r="22" spans="2:20" x14ac:dyDescent="0.45">
      <c r="B22" s="46" t="s">
        <v>88</v>
      </c>
      <c r="C22" s="46">
        <f>'BS Source'!G15</f>
        <v>16100.6</v>
      </c>
    </row>
    <row r="23" spans="2:20" x14ac:dyDescent="0.45">
      <c r="B23" s="46" t="s">
        <v>89</v>
      </c>
      <c r="C23" s="46">
        <f>'BS Source'!G10</f>
        <v>7333.6</v>
      </c>
    </row>
    <row r="24" spans="2:20" x14ac:dyDescent="0.45">
      <c r="B24" s="46" t="s">
        <v>90</v>
      </c>
      <c r="C24" s="46">
        <f>'BS Source'!G11</f>
        <v>401.4</v>
      </c>
    </row>
    <row r="25" spans="2:20" x14ac:dyDescent="0.45">
      <c r="B25" s="46" t="s">
        <v>91</v>
      </c>
      <c r="C25" s="46">
        <f>'BS Source'!G16</f>
        <v>19251.3</v>
      </c>
    </row>
    <row r="26" spans="2:20" x14ac:dyDescent="0.45">
      <c r="B26" s="46" t="s">
        <v>92</v>
      </c>
      <c r="C26" s="46">
        <f>'BS Source'!G21</f>
        <v>703.8</v>
      </c>
    </row>
    <row r="27" spans="2:20" ht="19.5" customHeight="1" thickBot="1" x14ac:dyDescent="0.5">
      <c r="B27" s="56" t="s">
        <v>93</v>
      </c>
      <c r="C27" s="56">
        <f>C17-C20-C21+SUM(C22:C26)</f>
        <v>260331.2175320205</v>
      </c>
    </row>
    <row r="28" spans="2:20" ht="19.5" customHeight="1" thickTop="1" x14ac:dyDescent="0.45">
      <c r="B28" s="57" t="s">
        <v>94</v>
      </c>
      <c r="C28" s="89">
        <f>WACC!C25</f>
        <v>96.415716000000003</v>
      </c>
    </row>
    <row r="29" spans="2:20" ht="26.25" customHeight="1" x14ac:dyDescent="0.6">
      <c r="B29" s="58" t="s">
        <v>95</v>
      </c>
      <c r="C29" s="58">
        <f>C27/C28</f>
        <v>2700.0911089227457</v>
      </c>
      <c r="M29" s="91" t="s">
        <v>96</v>
      </c>
      <c r="N29" s="146" t="s">
        <v>79</v>
      </c>
      <c r="O29" s="147"/>
      <c r="P29" s="147"/>
      <c r="Q29" s="147"/>
      <c r="R29" s="147"/>
      <c r="S29" s="147"/>
      <c r="T29" s="145"/>
    </row>
    <row r="30" spans="2:20" x14ac:dyDescent="0.45">
      <c r="M30" s="140" t="s">
        <v>80</v>
      </c>
      <c r="N30" s="54">
        <f>C29</f>
        <v>2700.0911089227457</v>
      </c>
      <c r="O30" s="84">
        <v>0.01</v>
      </c>
      <c r="P30" s="84">
        <v>0.02</v>
      </c>
      <c r="Q30" s="84">
        <v>0.03</v>
      </c>
      <c r="R30" s="84">
        <v>0.04</v>
      </c>
      <c r="S30" s="84">
        <v>0.05</v>
      </c>
      <c r="T30" s="84">
        <v>0.06</v>
      </c>
    </row>
    <row r="31" spans="2:20" x14ac:dyDescent="0.45">
      <c r="M31" s="141"/>
      <c r="N31" s="84">
        <f>WACC!$C$22-0.015</f>
        <v>9.472145804460233E-2</v>
      </c>
      <c r="O31" s="86">
        <f t="dataTable" ref="O31:T36" dt2D="1" dtr="1" r1="C14" r2="C3" ca="1"/>
        <v>2945.8605461110865</v>
      </c>
      <c r="P31" s="86">
        <v>3229.2952444423031</v>
      </c>
      <c r="Q31" s="86">
        <v>3600.315948062796</v>
      </c>
      <c r="R31" s="86">
        <v>4106.9400207741073</v>
      </c>
      <c r="S31" s="86">
        <v>4840.1327676131878</v>
      </c>
      <c r="T31" s="55">
        <v>5995.6538313663987</v>
      </c>
    </row>
    <row r="32" spans="2:20" x14ac:dyDescent="0.45">
      <c r="B32" s="5" t="s">
        <v>97</v>
      </c>
      <c r="M32" s="141"/>
      <c r="N32" s="84">
        <f>WACC!$C$22-0.01</f>
        <v>9.9721458044602335E-2</v>
      </c>
      <c r="O32" s="55">
        <v>2784.317577728616</v>
      </c>
      <c r="P32" s="55">
        <v>3030.6399997685257</v>
      </c>
      <c r="Q32" s="55">
        <v>3347.6214209023256</v>
      </c>
      <c r="R32" s="55">
        <v>3770.7561180988309</v>
      </c>
      <c r="S32" s="55">
        <v>4364.0928623941691</v>
      </c>
      <c r="T32" s="55">
        <v>5256.1783301775004</v>
      </c>
    </row>
    <row r="33" spans="2:20" x14ac:dyDescent="0.45">
      <c r="B33" s="43" t="s">
        <v>98</v>
      </c>
      <c r="C33" s="88">
        <f>WACC!C26</f>
        <v>11107</v>
      </c>
      <c r="M33" s="141"/>
      <c r="N33" s="84">
        <f>WACC!$C$22-0.005</f>
        <v>0.10472145804460233</v>
      </c>
      <c r="O33" s="55">
        <v>2639.9506371668708</v>
      </c>
      <c r="P33" s="55">
        <v>2855.5529143981471</v>
      </c>
      <c r="Q33" s="55">
        <v>3128.8634545229497</v>
      </c>
      <c r="R33" s="55">
        <v>3486.6314677585879</v>
      </c>
      <c r="S33" s="55">
        <v>3975.1591595627428</v>
      </c>
      <c r="T33" s="55">
        <v>4682.1625957475608</v>
      </c>
    </row>
    <row r="34" spans="2:20" x14ac:dyDescent="0.45">
      <c r="B34" s="43" t="s">
        <v>99</v>
      </c>
      <c r="C34" s="65">
        <f>C28</f>
        <v>96.415716000000003</v>
      </c>
      <c r="M34" s="141"/>
      <c r="N34" s="84">
        <f>WACC!$C$22</f>
        <v>0.10972145804460233</v>
      </c>
      <c r="O34" s="55">
        <v>2510.17341814667</v>
      </c>
      <c r="P34" s="55">
        <v>2700.0911089227457</v>
      </c>
      <c r="Q34" s="55">
        <v>2937.6541126256921</v>
      </c>
      <c r="R34" s="55">
        <v>3243.3634260489457</v>
      </c>
      <c r="S34" s="55">
        <v>3651.4511218602993</v>
      </c>
      <c r="T34" s="55">
        <v>4223.6883466115642</v>
      </c>
    </row>
    <row r="35" spans="2:20" x14ac:dyDescent="0.45">
      <c r="B35" s="43" t="s">
        <v>100</v>
      </c>
      <c r="C35" s="88">
        <f>C33*C34</f>
        <v>1070889.3576120001</v>
      </c>
      <c r="M35" s="141"/>
      <c r="N35" s="84">
        <f>WACC!$C$22+0.005</f>
        <v>0.11472145804460233</v>
      </c>
      <c r="O35" s="55">
        <v>2392.8936282118984</v>
      </c>
      <c r="P35" s="55">
        <v>2561.1442968763113</v>
      </c>
      <c r="Q35" s="55">
        <v>2769.1135144296804</v>
      </c>
      <c r="R35" s="55">
        <v>3032.7479245517579</v>
      </c>
      <c r="S35" s="55">
        <v>3377.8497237244328</v>
      </c>
      <c r="T35" s="55">
        <v>3849.0818606126663</v>
      </c>
    </row>
    <row r="36" spans="2:20" x14ac:dyDescent="0.45">
      <c r="B36" s="43" t="s">
        <v>101</v>
      </c>
      <c r="C36" s="88">
        <f>C20</f>
        <v>351.4</v>
      </c>
      <c r="M36" s="142"/>
      <c r="N36" s="84">
        <f>WACC!$C$22+0.01</f>
        <v>0.11972145804460232</v>
      </c>
      <c r="O36" s="55">
        <v>2286.400425481499</v>
      </c>
      <c r="P36" s="55">
        <v>2436.2260528095258</v>
      </c>
      <c r="Q36" s="55">
        <v>2619.4496276505197</v>
      </c>
      <c r="R36" s="55">
        <v>2848.6391392255077</v>
      </c>
      <c r="S36" s="55">
        <v>3143.5729762930482</v>
      </c>
      <c r="T36" s="55">
        <v>3537.2766179582177</v>
      </c>
    </row>
    <row r="37" spans="2:20" x14ac:dyDescent="0.45">
      <c r="B37" s="43" t="s">
        <v>102</v>
      </c>
      <c r="C37" s="88">
        <f>C21</f>
        <v>26221.8</v>
      </c>
    </row>
    <row r="38" spans="2:20" x14ac:dyDescent="0.45">
      <c r="B38" s="43" t="s">
        <v>103</v>
      </c>
      <c r="C38" s="88">
        <f>-SUM(C22:C26)</f>
        <v>-43790.700000000004</v>
      </c>
    </row>
    <row r="39" spans="2:20" x14ac:dyDescent="0.45">
      <c r="B39" s="49" t="s">
        <v>104</v>
      </c>
      <c r="C39" s="88">
        <f>SUM(C35:C38)</f>
        <v>1053671.8576120001</v>
      </c>
    </row>
    <row r="40" spans="2:20" x14ac:dyDescent="0.45">
      <c r="B40" s="43" t="s">
        <v>105</v>
      </c>
      <c r="C40" s="88">
        <f>-C13</f>
        <v>-75276.581746998098</v>
      </c>
    </row>
    <row r="41" spans="2:20" x14ac:dyDescent="0.45">
      <c r="B41" s="43" t="s">
        <v>106</v>
      </c>
      <c r="C41" s="88">
        <f>C39+C40</f>
        <v>978395.27586500195</v>
      </c>
    </row>
    <row r="42" spans="2:20" x14ac:dyDescent="0.45">
      <c r="B42" s="49" t="s">
        <v>107</v>
      </c>
      <c r="C42" s="88">
        <f>C41/L8</f>
        <v>1646585.422293907</v>
      </c>
    </row>
    <row r="43" spans="2:20" x14ac:dyDescent="0.45">
      <c r="B43" s="49" t="s">
        <v>108</v>
      </c>
      <c r="C43" s="90">
        <f>(C42*C3-L7)/(C42+L7)</f>
        <v>9.3225422425114252E-2</v>
      </c>
    </row>
    <row r="44" spans="2:20" x14ac:dyDescent="0.45">
      <c r="B44" s="43" t="s">
        <v>109</v>
      </c>
      <c r="C44" s="90">
        <f>C14</f>
        <v>0.02</v>
      </c>
    </row>
    <row r="45" spans="2:20" x14ac:dyDescent="0.45">
      <c r="B45" s="43" t="s">
        <v>110</v>
      </c>
      <c r="C45" s="90">
        <f>C3</f>
        <v>0.10972145804460233</v>
      </c>
    </row>
    <row r="46" spans="2:20" ht="126" customHeight="1" x14ac:dyDescent="0.45">
      <c r="B46" s="144" t="str">
        <f>"The traded price discounts a perpetual growth rate of "&amp;TEXT($C$43,"0.0%")&amp;", against the "&amp;TEXT($C$44,"0.0%")&amp;" used here, and only "&amp;TEXT($C$45-$C$43,"0.0%")&amp;" below the "&amp;TEXT($C$45,"0.0%")&amp;" discount rate that caps any terminal growth assumption. Terminal value is "&amp;TEXT($C$16/$C$17,"0%")&amp;" of enterprise value, so the gap between this valuation and the market sits almost entirely in the terminal assumption rather than in the five-year forecast."</f>
        <v>The traded price discounts a perpetual growth rate of 9.3%, against the 2.0% used here, and only 1.6% below the 11.0% discount rate that caps any terminal growth assumption. Terminal value is 69% of enterprise value, so the gap between this valuation and the market sits almost entirely in the terminal assumption rather than in the five-year forecast.</v>
      </c>
      <c r="C46" s="145"/>
    </row>
  </sheetData>
  <sheetProtection algorithmName="SHA-512" hashValue="LRW9iU49xfUtVFM7aERhLOZSfzQfKWQiAVlJ9v+ABWPBlUACJlHXvK+X7Sz1dP8EKmxze3ACfRgQruVc/Ru3Jw==" saltValue="IlVoVPPcHaGO0px/Sp0bcA==" spinCount="100000" sheet="1" objects="1" scenarios="1"/>
  <mergeCells count="6">
    <mergeCell ref="M30:M36"/>
    <mergeCell ref="G2:G4"/>
    <mergeCell ref="B46:C46"/>
    <mergeCell ref="M12:M18"/>
    <mergeCell ref="N11:T11"/>
    <mergeCell ref="N29:T29"/>
  </mergeCells>
  <dataValidations count="1">
    <dataValidation type="whole" allowBlank="1" showInputMessage="1" showErrorMessage="1" error="Incorrect inout. Choose case 1,2 or 3._x000a_" promptTitle="Selected Case" prompt="Choose a number according the case you want." sqref="C4" xr:uid="{00000000-0002-0000-0800-000000000000}">
      <formula1>1</formula1>
      <formula2>3</formula2>
    </dataValidation>
  </dataValidation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S63"/>
  <sheetViews>
    <sheetView showGridLines="0" workbookViewId="0">
      <selection activeCell="B10" sqref="B10"/>
    </sheetView>
  </sheetViews>
  <sheetFormatPr defaultColWidth="10.83203125" defaultRowHeight="18.5" outlineLevelCol="1" x14ac:dyDescent="0.45"/>
  <cols>
    <col min="1" max="1" width="3.33203125" style="23" customWidth="1"/>
    <col min="2" max="2" width="46.58203125" style="23" bestFit="1" customWidth="1"/>
    <col min="3" max="3" width="42.08203125" style="23" customWidth="1"/>
    <col min="4" max="4" width="36.75" style="23" customWidth="1"/>
    <col min="5" max="5" width="2.58203125" style="23" customWidth="1"/>
    <col min="6" max="6" width="10.33203125" style="23" bestFit="1" customWidth="1" outlineLevel="1"/>
    <col min="7" max="7" width="14" style="23" bestFit="1" customWidth="1" outlineLevel="1"/>
    <col min="8" max="8" width="19.33203125" style="23" bestFit="1" customWidth="1" outlineLevel="1"/>
    <col min="9" max="9" width="16.58203125" style="23" bestFit="1" customWidth="1" outlineLevel="1"/>
    <col min="10" max="10" width="16.33203125" style="23" bestFit="1" customWidth="1" outlineLevel="1"/>
    <col min="11" max="11" width="11.75" style="23" bestFit="1" customWidth="1"/>
    <col min="12" max="17" width="10.83203125" style="23" customWidth="1"/>
    <col min="18" max="18" width="24.5" style="23" bestFit="1" customWidth="1"/>
    <col min="19" max="19" width="21.75" style="23" bestFit="1" customWidth="1"/>
    <col min="20" max="22" width="10.83203125" style="23" customWidth="1"/>
    <col min="23" max="16384" width="10.83203125" style="23"/>
  </cols>
  <sheetData>
    <row r="1" spans="2:19" ht="19.5" customHeight="1" x14ac:dyDescent="0.45"/>
    <row r="2" spans="2:19" ht="37.5" customHeight="1" x14ac:dyDescent="0.45">
      <c r="B2" s="155" t="s">
        <v>112</v>
      </c>
      <c r="C2" s="156"/>
      <c r="D2" s="153" t="s">
        <v>113</v>
      </c>
      <c r="F2" s="167" t="s">
        <v>114</v>
      </c>
      <c r="G2" s="165" t="s">
        <v>115</v>
      </c>
      <c r="H2" s="167" t="s">
        <v>194</v>
      </c>
      <c r="I2" s="165" t="s">
        <v>116</v>
      </c>
      <c r="J2" s="165" t="s">
        <v>195</v>
      </c>
      <c r="K2" s="166" t="s">
        <v>113</v>
      </c>
      <c r="M2"/>
      <c r="N2" s="66" t="s">
        <v>117</v>
      </c>
      <c r="O2" s="66" t="s">
        <v>114</v>
      </c>
      <c r="P2" s="66" t="s">
        <v>118</v>
      </c>
      <c r="Q2" s="66" t="s">
        <v>119</v>
      </c>
      <c r="R2" s="66" t="s">
        <v>120</v>
      </c>
      <c r="S2" s="66"/>
    </row>
    <row r="3" spans="2:19" x14ac:dyDescent="0.45">
      <c r="B3" s="156"/>
      <c r="C3" s="156"/>
      <c r="D3" s="154"/>
      <c r="F3" s="167"/>
      <c r="G3" s="165"/>
      <c r="H3" s="167"/>
      <c r="I3" s="165"/>
      <c r="J3" s="165"/>
      <c r="K3" s="166"/>
    </row>
    <row r="4" spans="2:19" ht="19.5" customHeight="1" x14ac:dyDescent="0.45">
      <c r="B4" s="99" t="s">
        <v>121</v>
      </c>
      <c r="C4" s="98"/>
      <c r="F4" s="100">
        <v>41640</v>
      </c>
      <c r="G4" s="101">
        <v>248.52</v>
      </c>
      <c r="H4" s="101">
        <v>6089.5</v>
      </c>
      <c r="I4" s="102"/>
      <c r="J4" s="94"/>
      <c r="K4" t="s">
        <v>111</v>
      </c>
      <c r="S4" s="67"/>
    </row>
    <row r="5" spans="2:19" x14ac:dyDescent="0.45">
      <c r="B5" s="103" t="s">
        <v>122</v>
      </c>
      <c r="C5" s="104">
        <f>C27/SUM(C27,C29)</f>
        <v>0.99967196916519196</v>
      </c>
      <c r="F5" s="100">
        <v>41671</v>
      </c>
      <c r="G5" s="101">
        <v>239.53</v>
      </c>
      <c r="H5" s="101">
        <v>6276.95</v>
      </c>
      <c r="I5" s="90">
        <f t="shared" ref="I5:I36" si="0">G5/G4-1</f>
        <v>-3.6174150973764752E-2</v>
      </c>
      <c r="J5" s="95">
        <f t="shared" ref="J5:J36" si="1">H5/H4-1</f>
        <v>3.0782494457673115E-2</v>
      </c>
      <c r="S5" s="67"/>
    </row>
    <row r="6" spans="2:19" x14ac:dyDescent="0.45">
      <c r="B6" s="103" t="s">
        <v>123</v>
      </c>
      <c r="C6" s="105">
        <f>1-C5</f>
        <v>3.2803083480803519E-4</v>
      </c>
      <c r="F6" s="100">
        <v>41699</v>
      </c>
      <c r="G6" s="101">
        <v>247.62</v>
      </c>
      <c r="H6" s="101">
        <v>6704.2</v>
      </c>
      <c r="I6" s="90">
        <f t="shared" si="0"/>
        <v>3.3774475013568228E-2</v>
      </c>
      <c r="J6" s="95">
        <f t="shared" si="1"/>
        <v>6.8066497263798542E-2</v>
      </c>
      <c r="S6" s="67"/>
    </row>
    <row r="7" spans="2:19" x14ac:dyDescent="0.45">
      <c r="B7" s="163"/>
      <c r="C7" s="164"/>
      <c r="F7" s="100">
        <v>41730</v>
      </c>
      <c r="G7" s="101">
        <v>234.82</v>
      </c>
      <c r="H7" s="101">
        <v>6696.4</v>
      </c>
      <c r="I7" s="90">
        <f t="shared" si="0"/>
        <v>-5.1692108876504328E-2</v>
      </c>
      <c r="J7" s="95">
        <f t="shared" si="1"/>
        <v>-1.1634497777512909E-3</v>
      </c>
      <c r="S7" s="67"/>
    </row>
    <row r="8" spans="2:19" ht="19.5" customHeight="1" x14ac:dyDescent="0.45">
      <c r="B8" s="99" t="s">
        <v>124</v>
      </c>
      <c r="C8" s="106"/>
      <c r="F8" s="100">
        <v>41760</v>
      </c>
      <c r="G8" s="101">
        <v>244.28</v>
      </c>
      <c r="H8" s="101">
        <v>7229.95</v>
      </c>
      <c r="I8" s="90">
        <f t="shared" si="0"/>
        <v>4.0286176645941696E-2</v>
      </c>
      <c r="J8" s="95">
        <f t="shared" si="1"/>
        <v>7.9677139955797172E-2</v>
      </c>
      <c r="S8" s="67"/>
    </row>
    <row r="9" spans="2:19" x14ac:dyDescent="0.45">
      <c r="B9" s="103" t="s">
        <v>125</v>
      </c>
      <c r="C9" s="105">
        <v>6.7330000000000001E-2</v>
      </c>
      <c r="F9" s="100">
        <v>41791</v>
      </c>
      <c r="G9" s="101">
        <v>242.74</v>
      </c>
      <c r="H9" s="101">
        <v>7611.35</v>
      </c>
      <c r="I9" s="90">
        <f t="shared" si="0"/>
        <v>-6.3042410348779221E-3</v>
      </c>
      <c r="J9" s="95">
        <f t="shared" si="1"/>
        <v>5.2752785288971538E-2</v>
      </c>
      <c r="S9" s="67"/>
    </row>
    <row r="10" spans="2:19" ht="48" customHeight="1" x14ac:dyDescent="0.45">
      <c r="B10" s="103" t="s">
        <v>126</v>
      </c>
      <c r="C10" s="107">
        <f>SLOPE(I5:I63,J5:J63)</f>
        <v>0.84815875274449004</v>
      </c>
      <c r="D10" s="93" t="s">
        <v>127</v>
      </c>
      <c r="F10" s="100">
        <v>41821</v>
      </c>
      <c r="G10" s="101">
        <v>252.52</v>
      </c>
      <c r="H10" s="101">
        <v>7721.3</v>
      </c>
      <c r="I10" s="90">
        <f t="shared" si="0"/>
        <v>4.0290022246024515E-2</v>
      </c>
      <c r="J10" s="95">
        <f t="shared" si="1"/>
        <v>1.4445532001550188E-2</v>
      </c>
      <c r="S10" s="67"/>
    </row>
    <row r="11" spans="2:19" x14ac:dyDescent="0.45">
      <c r="B11" s="103" t="s">
        <v>128</v>
      </c>
      <c r="C11" s="105">
        <v>0.05</v>
      </c>
      <c r="F11" s="100">
        <v>41852</v>
      </c>
      <c r="G11" s="101">
        <v>296.85000000000002</v>
      </c>
      <c r="H11" s="101">
        <v>7954.35</v>
      </c>
      <c r="I11" s="90">
        <f t="shared" si="0"/>
        <v>0.17555045144939019</v>
      </c>
      <c r="J11" s="95">
        <f t="shared" si="1"/>
        <v>3.018274124823539E-2</v>
      </c>
      <c r="S11" s="67"/>
    </row>
    <row r="12" spans="2:19" x14ac:dyDescent="0.45">
      <c r="B12" s="99" t="s">
        <v>129</v>
      </c>
      <c r="C12" s="108">
        <f>C9+C10*C11</f>
        <v>0.1097379376372245</v>
      </c>
      <c r="F12" s="100">
        <v>41883</v>
      </c>
      <c r="G12" s="101">
        <v>293.89999999999998</v>
      </c>
      <c r="H12" s="101">
        <v>7964.8</v>
      </c>
      <c r="I12" s="90">
        <f t="shared" si="0"/>
        <v>-9.9376789624391337E-3</v>
      </c>
      <c r="J12" s="95">
        <f t="shared" si="1"/>
        <v>1.3137465663441983E-3</v>
      </c>
      <c r="S12" s="67"/>
    </row>
    <row r="13" spans="2:19" x14ac:dyDescent="0.45">
      <c r="B13" s="157"/>
      <c r="C13" s="158"/>
      <c r="F13" s="100">
        <v>41913</v>
      </c>
      <c r="G13" s="101">
        <v>308.10000000000002</v>
      </c>
      <c r="H13" s="101">
        <v>8322.2000000000007</v>
      </c>
      <c r="I13" s="90">
        <f t="shared" si="0"/>
        <v>4.8315753657706795E-2</v>
      </c>
      <c r="J13" s="95">
        <f t="shared" si="1"/>
        <v>4.4872438730413799E-2</v>
      </c>
      <c r="S13" s="67"/>
    </row>
    <row r="14" spans="2:19" x14ac:dyDescent="0.45">
      <c r="B14" s="103" t="s">
        <v>130</v>
      </c>
      <c r="C14" s="104">
        <v>8.5000000000000006E-2</v>
      </c>
      <c r="F14" s="100">
        <v>41944</v>
      </c>
      <c r="G14" s="101">
        <v>305.49</v>
      </c>
      <c r="H14" s="101">
        <v>8588.25</v>
      </c>
      <c r="I14" s="90">
        <f t="shared" si="0"/>
        <v>-8.4712755598832512E-3</v>
      </c>
      <c r="J14" s="95">
        <f t="shared" si="1"/>
        <v>3.1968710196822903E-2</v>
      </c>
      <c r="S14" s="67"/>
    </row>
    <row r="15" spans="2:19" x14ac:dyDescent="0.45">
      <c r="B15" s="103" t="s">
        <v>131</v>
      </c>
      <c r="C15" s="104">
        <f>-('P&amp;L assumptions'!I35)</f>
        <v>0.3</v>
      </c>
      <c r="F15" s="100">
        <v>41974</v>
      </c>
      <c r="G15" s="101">
        <v>314.39</v>
      </c>
      <c r="H15" s="101">
        <v>8282.7000000000007</v>
      </c>
      <c r="I15" s="90">
        <f t="shared" si="0"/>
        <v>2.9133523192248489E-2</v>
      </c>
      <c r="J15" s="95">
        <f t="shared" si="1"/>
        <v>-3.5577678805344459E-2</v>
      </c>
      <c r="S15" s="67"/>
    </row>
    <row r="16" spans="2:19" x14ac:dyDescent="0.45">
      <c r="B16" s="99" t="s">
        <v>132</v>
      </c>
      <c r="C16" s="108">
        <f>C14*(1-C15)</f>
        <v>5.9499999999999997E-2</v>
      </c>
      <c r="F16" s="100">
        <v>42005</v>
      </c>
      <c r="G16" s="101">
        <v>350.25</v>
      </c>
      <c r="H16" s="101">
        <v>8808.9</v>
      </c>
      <c r="I16" s="90">
        <f t="shared" si="0"/>
        <v>0.11406215210407455</v>
      </c>
      <c r="J16" s="95">
        <f t="shared" si="1"/>
        <v>6.3530008330616727E-2</v>
      </c>
      <c r="S16" s="67"/>
    </row>
    <row r="17" spans="2:19" x14ac:dyDescent="0.45">
      <c r="B17" s="159"/>
      <c r="C17" s="160"/>
      <c r="F17" s="100">
        <v>42036</v>
      </c>
      <c r="G17" s="101">
        <v>345.86</v>
      </c>
      <c r="H17" s="101">
        <v>8901.85</v>
      </c>
      <c r="I17" s="90">
        <f t="shared" si="0"/>
        <v>-1.2533904354032788E-2</v>
      </c>
      <c r="J17" s="95">
        <f t="shared" si="1"/>
        <v>1.0551828264596219E-2</v>
      </c>
      <c r="S17" s="67"/>
    </row>
    <row r="18" spans="2:19" x14ac:dyDescent="0.45">
      <c r="B18" s="161"/>
      <c r="C18" s="162"/>
      <c r="F18" s="100">
        <v>42064</v>
      </c>
      <c r="G18" s="101">
        <v>342.09</v>
      </c>
      <c r="H18" s="101">
        <v>8491</v>
      </c>
      <c r="I18" s="90">
        <f t="shared" si="0"/>
        <v>-1.0900364309258226E-2</v>
      </c>
      <c r="J18" s="95">
        <f t="shared" si="1"/>
        <v>-4.6153327679077982E-2</v>
      </c>
      <c r="S18" s="67"/>
    </row>
    <row r="19" spans="2:19" x14ac:dyDescent="0.45">
      <c r="B19" s="99" t="s">
        <v>133</v>
      </c>
      <c r="C19" s="108">
        <f>IF(ISNUMBER($C$5*$C$12),$C$5*$C$12,"n/a")</f>
        <v>0.10970194020993125</v>
      </c>
      <c r="D19" s="42"/>
      <c r="E19" s="42"/>
      <c r="F19" s="100">
        <v>42095</v>
      </c>
      <c r="G19" s="101">
        <v>323.63</v>
      </c>
      <c r="H19" s="101">
        <v>8181.5</v>
      </c>
      <c r="I19" s="90">
        <f t="shared" si="0"/>
        <v>-5.3962407553567737E-2</v>
      </c>
      <c r="J19" s="95">
        <f t="shared" si="1"/>
        <v>-3.6450359203862859E-2</v>
      </c>
      <c r="S19" s="67"/>
    </row>
    <row r="20" spans="2:19" x14ac:dyDescent="0.45">
      <c r="B20" s="99" t="s">
        <v>134</v>
      </c>
      <c r="C20" s="108">
        <f>IF(ISNUMBER($C$6*$C$16),$C$6*$C$16,"n/a")</f>
        <v>1.9517834671078093E-5</v>
      </c>
      <c r="F20" s="100">
        <v>42125</v>
      </c>
      <c r="G20" s="101">
        <v>332.45</v>
      </c>
      <c r="H20" s="101">
        <v>8433.65</v>
      </c>
      <c r="I20" s="90">
        <f t="shared" si="0"/>
        <v>2.7253344869140772E-2</v>
      </c>
      <c r="J20" s="95">
        <f t="shared" si="1"/>
        <v>3.0819531870683869E-2</v>
      </c>
      <c r="S20" s="67"/>
    </row>
    <row r="21" spans="2:19" x14ac:dyDescent="0.45">
      <c r="B21" s="157"/>
      <c r="C21" s="158"/>
      <c r="F21" s="100">
        <v>42156</v>
      </c>
      <c r="G21" s="101">
        <v>312.77999999999997</v>
      </c>
      <c r="H21" s="101">
        <v>8368.5</v>
      </c>
      <c r="I21" s="90">
        <f t="shared" si="0"/>
        <v>-5.9166791998796819E-2</v>
      </c>
      <c r="J21" s="95">
        <f t="shared" si="1"/>
        <v>-7.7250063732784424E-3</v>
      </c>
      <c r="S21" s="67"/>
    </row>
    <row r="22" spans="2:19" ht="19.5" customHeight="1" x14ac:dyDescent="0.45">
      <c r="B22" s="99" t="s">
        <v>135</v>
      </c>
      <c r="C22" s="108">
        <f>IF(ISNUMBER(C19+C20),(C19+C20),"n/a")</f>
        <v>0.10972145804460233</v>
      </c>
      <c r="F22" s="100">
        <v>42186</v>
      </c>
      <c r="G22" s="101">
        <v>313.04000000000002</v>
      </c>
      <c r="H22" s="101">
        <v>8532.85</v>
      </c>
      <c r="I22" s="90">
        <f t="shared" si="0"/>
        <v>8.3125519534510417E-4</v>
      </c>
      <c r="J22" s="95">
        <f t="shared" si="1"/>
        <v>1.9639122901356387E-2</v>
      </c>
      <c r="S22" s="67"/>
    </row>
    <row r="23" spans="2:19" ht="20.25" customHeight="1" x14ac:dyDescent="0.45">
      <c r="B23" s="96"/>
      <c r="C23" s="97"/>
      <c r="F23" s="100">
        <v>42217</v>
      </c>
      <c r="G23" s="101">
        <v>293.74</v>
      </c>
      <c r="H23" s="101">
        <v>7971.3</v>
      </c>
      <c r="I23" s="90">
        <f t="shared" si="0"/>
        <v>-6.1653462816253501E-2</v>
      </c>
      <c r="J23" s="95">
        <f t="shared" si="1"/>
        <v>-6.5810368165384436E-2</v>
      </c>
      <c r="S23" s="67"/>
    </row>
    <row r="24" spans="2:19" x14ac:dyDescent="0.45">
      <c r="F24" s="100">
        <v>42248</v>
      </c>
      <c r="G24" s="101">
        <v>313.54000000000002</v>
      </c>
      <c r="H24" s="101">
        <v>7948.9</v>
      </c>
      <c r="I24" s="90">
        <f t="shared" si="0"/>
        <v>6.7406550010213229E-2</v>
      </c>
      <c r="J24" s="95">
        <f t="shared" si="1"/>
        <v>-2.8100811661837533E-3</v>
      </c>
      <c r="S24" s="67"/>
    </row>
    <row r="25" spans="2:19" x14ac:dyDescent="0.45">
      <c r="B25" s="44" t="s">
        <v>136</v>
      </c>
      <c r="C25" s="65">
        <v>96.415716000000003</v>
      </c>
      <c r="F25" s="100">
        <v>42278</v>
      </c>
      <c r="G25" s="101">
        <v>304</v>
      </c>
      <c r="H25" s="101">
        <v>8065.8</v>
      </c>
      <c r="I25" s="90">
        <f t="shared" si="0"/>
        <v>-3.0426739809912728E-2</v>
      </c>
      <c r="J25" s="95">
        <f t="shared" si="1"/>
        <v>1.4706437368692482E-2</v>
      </c>
      <c r="S25" s="67"/>
    </row>
    <row r="26" spans="2:19" ht="140.5" x14ac:dyDescent="0.45">
      <c r="B26" s="44" t="s">
        <v>137</v>
      </c>
      <c r="C26" s="59">
        <v>11107</v>
      </c>
      <c r="D26" s="93" t="s">
        <v>138</v>
      </c>
      <c r="F26" s="100">
        <v>42309</v>
      </c>
      <c r="G26" s="101">
        <v>288.49</v>
      </c>
      <c r="H26" s="101">
        <v>7935.25</v>
      </c>
      <c r="I26" s="90">
        <f t="shared" si="0"/>
        <v>-5.1019736842105257E-2</v>
      </c>
      <c r="J26" s="95">
        <f t="shared" si="1"/>
        <v>-1.6185623248778813E-2</v>
      </c>
      <c r="S26" s="67"/>
    </row>
    <row r="27" spans="2:19" x14ac:dyDescent="0.45">
      <c r="B27" s="44" t="s">
        <v>139</v>
      </c>
      <c r="C27" s="88">
        <f>C25*C26</f>
        <v>1070889.3576120001</v>
      </c>
      <c r="F27" s="100">
        <v>42339</v>
      </c>
      <c r="G27" s="101">
        <v>286.97000000000003</v>
      </c>
      <c r="H27" s="101">
        <v>7946.35</v>
      </c>
      <c r="I27" s="90">
        <f t="shared" si="0"/>
        <v>-5.2688134770702E-3</v>
      </c>
      <c r="J27" s="95">
        <f t="shared" si="1"/>
        <v>1.3988217132416825E-3</v>
      </c>
      <c r="S27" s="67"/>
    </row>
    <row r="28" spans="2:19" x14ac:dyDescent="0.45">
      <c r="B28" s="44"/>
      <c r="C28" s="43"/>
      <c r="F28" s="100">
        <v>42370</v>
      </c>
      <c r="G28" s="101">
        <v>270.23</v>
      </c>
      <c r="H28" s="101">
        <v>7563.55</v>
      </c>
      <c r="I28" s="90">
        <f t="shared" si="0"/>
        <v>-5.8333623723734185E-2</v>
      </c>
      <c r="J28" s="95">
        <f t="shared" si="1"/>
        <v>-4.8173060587565431E-2</v>
      </c>
      <c r="S28" s="67"/>
    </row>
    <row r="29" spans="2:19" x14ac:dyDescent="0.45">
      <c r="B29" s="44" t="s">
        <v>140</v>
      </c>
      <c r="C29" s="88">
        <f>'BS Source'!G28+'BS Source'!G36</f>
        <v>351.4</v>
      </c>
      <c r="F29" s="100">
        <v>42401</v>
      </c>
      <c r="G29" s="101">
        <v>246.59</v>
      </c>
      <c r="H29" s="101">
        <v>6987.05</v>
      </c>
      <c r="I29" s="90">
        <f t="shared" si="0"/>
        <v>-8.7481034674166458E-2</v>
      </c>
      <c r="J29" s="95">
        <f t="shared" si="1"/>
        <v>-7.6220822232946128E-2</v>
      </c>
      <c r="S29" s="67"/>
    </row>
    <row r="30" spans="2:19" x14ac:dyDescent="0.45">
      <c r="F30" s="100">
        <v>42430</v>
      </c>
      <c r="G30" s="101">
        <v>283.49</v>
      </c>
      <c r="H30" s="101">
        <v>7738.4</v>
      </c>
      <c r="I30" s="90">
        <f t="shared" si="0"/>
        <v>0.14964110466766689</v>
      </c>
      <c r="J30" s="95">
        <f t="shared" si="1"/>
        <v>0.10753465339449408</v>
      </c>
      <c r="S30" s="67"/>
    </row>
    <row r="31" spans="2:19" x14ac:dyDescent="0.45">
      <c r="F31" s="100">
        <v>42461</v>
      </c>
      <c r="G31" s="101">
        <v>281.92</v>
      </c>
      <c r="H31" s="101">
        <v>7849.8</v>
      </c>
      <c r="I31" s="90">
        <f t="shared" si="0"/>
        <v>-5.5381142191963662E-3</v>
      </c>
      <c r="J31" s="95">
        <f t="shared" si="1"/>
        <v>1.4395740721596217E-2</v>
      </c>
      <c r="S31" s="67"/>
    </row>
    <row r="32" spans="2:19" x14ac:dyDescent="0.45">
      <c r="F32" s="100">
        <v>42491</v>
      </c>
      <c r="G32" s="101">
        <v>300.23</v>
      </c>
      <c r="H32" s="101">
        <v>8160.1</v>
      </c>
      <c r="I32" s="90">
        <f t="shared" si="0"/>
        <v>6.4947502837684468E-2</v>
      </c>
      <c r="J32" s="95">
        <f t="shared" si="1"/>
        <v>3.9529669545721013E-2</v>
      </c>
      <c r="S32" s="67"/>
    </row>
    <row r="33" spans="6:19" x14ac:dyDescent="0.45">
      <c r="F33" s="100">
        <v>42522</v>
      </c>
      <c r="G33" s="101">
        <v>319.68</v>
      </c>
      <c r="H33" s="101">
        <v>8287.75</v>
      </c>
      <c r="I33" s="90">
        <f t="shared" si="0"/>
        <v>6.4783665856176897E-2</v>
      </c>
      <c r="J33" s="95">
        <f t="shared" si="1"/>
        <v>1.5643190647173455E-2</v>
      </c>
      <c r="S33" s="67"/>
    </row>
    <row r="34" spans="6:19" x14ac:dyDescent="0.45">
      <c r="F34" s="100">
        <v>42552</v>
      </c>
      <c r="G34" s="101">
        <v>353.95</v>
      </c>
      <c r="H34" s="101">
        <v>8638.5</v>
      </c>
      <c r="I34" s="90">
        <f t="shared" si="0"/>
        <v>0.10720095095095084</v>
      </c>
      <c r="J34" s="95">
        <f t="shared" si="1"/>
        <v>4.2321498597327478E-2</v>
      </c>
      <c r="S34" s="67"/>
    </row>
    <row r="35" spans="6:19" x14ac:dyDescent="0.45">
      <c r="F35" s="100">
        <v>42583</v>
      </c>
      <c r="G35" s="101">
        <v>321.32</v>
      </c>
      <c r="H35" s="101">
        <v>8786.2000000000007</v>
      </c>
      <c r="I35" s="90">
        <f t="shared" si="0"/>
        <v>-9.2188162169797971E-2</v>
      </c>
      <c r="J35" s="95">
        <f t="shared" si="1"/>
        <v>1.7097875788620875E-2</v>
      </c>
      <c r="S35" s="67"/>
    </row>
    <row r="36" spans="6:19" x14ac:dyDescent="0.45">
      <c r="F36" s="100">
        <v>42614</v>
      </c>
      <c r="G36" s="101">
        <v>316.75</v>
      </c>
      <c r="H36" s="101">
        <v>8611.15</v>
      </c>
      <c r="I36" s="90">
        <f t="shared" si="0"/>
        <v>-1.4222581849869242E-2</v>
      </c>
      <c r="J36" s="95">
        <f t="shared" si="1"/>
        <v>-1.992328879379035E-2</v>
      </c>
      <c r="S36" s="67"/>
    </row>
    <row r="37" spans="6:19" x14ac:dyDescent="0.45">
      <c r="F37" s="100">
        <v>42644</v>
      </c>
      <c r="G37" s="101">
        <v>341.74</v>
      </c>
      <c r="H37" s="101">
        <v>8625.7000000000007</v>
      </c>
      <c r="I37" s="90">
        <f t="shared" ref="I37:I63" si="2">G37/G36-1</f>
        <v>7.8895027624309444E-2</v>
      </c>
      <c r="J37" s="95">
        <f t="shared" ref="J37:J63" si="3">H37/H36-1</f>
        <v>1.6896697885881995E-3</v>
      </c>
      <c r="S37" s="67"/>
    </row>
    <row r="38" spans="6:19" x14ac:dyDescent="0.45">
      <c r="F38" s="100">
        <v>42675</v>
      </c>
      <c r="G38" s="101">
        <v>309.7</v>
      </c>
      <c r="H38" s="101">
        <v>8224.5</v>
      </c>
      <c r="I38" s="90">
        <f t="shared" si="2"/>
        <v>-9.375548662726052E-2</v>
      </c>
      <c r="J38" s="95">
        <f t="shared" si="3"/>
        <v>-4.6512167128465065E-2</v>
      </c>
      <c r="S38" s="67"/>
    </row>
    <row r="39" spans="6:19" x14ac:dyDescent="0.45">
      <c r="F39" s="100">
        <v>42705</v>
      </c>
      <c r="G39" s="101">
        <v>296.83999999999997</v>
      </c>
      <c r="H39" s="101">
        <v>8185.8</v>
      </c>
      <c r="I39" s="90">
        <f t="shared" si="2"/>
        <v>-4.1524055537617066E-2</v>
      </c>
      <c r="J39" s="95">
        <f t="shared" si="3"/>
        <v>-4.7054532190407006E-3</v>
      </c>
      <c r="S39" s="67"/>
    </row>
    <row r="40" spans="6:19" x14ac:dyDescent="0.45">
      <c r="F40" s="100">
        <v>42736</v>
      </c>
      <c r="G40" s="101">
        <v>288.14</v>
      </c>
      <c r="H40" s="101">
        <v>8561.2999999999993</v>
      </c>
      <c r="I40" s="90">
        <f t="shared" si="2"/>
        <v>-2.9308718501549591E-2</v>
      </c>
      <c r="J40" s="95">
        <f t="shared" si="3"/>
        <v>4.5872120012704798E-2</v>
      </c>
      <c r="S40" s="67"/>
    </row>
    <row r="41" spans="6:19" x14ac:dyDescent="0.45">
      <c r="F41" s="100">
        <v>42767</v>
      </c>
      <c r="G41" s="101">
        <v>307.95999999999998</v>
      </c>
      <c r="H41" s="101">
        <v>8879.6</v>
      </c>
      <c r="I41" s="90">
        <f t="shared" si="2"/>
        <v>6.8786006802248778E-2</v>
      </c>
      <c r="J41" s="95">
        <f t="shared" si="3"/>
        <v>3.7178933105953771E-2</v>
      </c>
      <c r="S41" s="67"/>
    </row>
    <row r="42" spans="6:19" x14ac:dyDescent="0.45">
      <c r="F42" s="100">
        <v>42795</v>
      </c>
      <c r="G42" s="101">
        <v>328.95</v>
      </c>
      <c r="H42" s="101">
        <v>9173.75</v>
      </c>
      <c r="I42" s="90">
        <f t="shared" si="2"/>
        <v>6.8158202363943321E-2</v>
      </c>
      <c r="J42" s="95">
        <f t="shared" si="3"/>
        <v>3.3126492184332612E-2</v>
      </c>
      <c r="S42" s="67"/>
    </row>
    <row r="43" spans="6:19" x14ac:dyDescent="0.45">
      <c r="F43" s="100">
        <v>42826</v>
      </c>
      <c r="G43" s="101">
        <v>329.8</v>
      </c>
      <c r="H43" s="101">
        <v>9304.0499999999993</v>
      </c>
      <c r="I43" s="90">
        <f t="shared" si="2"/>
        <v>2.5839793281654533E-3</v>
      </c>
      <c r="J43" s="95">
        <f t="shared" si="3"/>
        <v>1.4203569968660457E-2</v>
      </c>
      <c r="S43" s="67"/>
    </row>
    <row r="44" spans="6:19" x14ac:dyDescent="0.45">
      <c r="F44" s="100">
        <v>42856</v>
      </c>
      <c r="G44" s="101">
        <v>327.2</v>
      </c>
      <c r="H44" s="101">
        <v>9621.25</v>
      </c>
      <c r="I44" s="90">
        <f t="shared" si="2"/>
        <v>-7.8835657974530848E-3</v>
      </c>
      <c r="J44" s="95">
        <f t="shared" si="3"/>
        <v>3.4092680069432113E-2</v>
      </c>
      <c r="S44" s="67"/>
    </row>
    <row r="45" spans="6:19" x14ac:dyDescent="0.45">
      <c r="F45" s="100">
        <v>42887</v>
      </c>
      <c r="G45" s="101">
        <v>331.72</v>
      </c>
      <c r="H45" s="101">
        <v>9520.9</v>
      </c>
      <c r="I45" s="90">
        <f t="shared" si="2"/>
        <v>1.3814180929095476E-2</v>
      </c>
      <c r="J45" s="95">
        <f t="shared" si="3"/>
        <v>-1.0430037677017112E-2</v>
      </c>
      <c r="S45" s="67"/>
    </row>
    <row r="46" spans="6:19" x14ac:dyDescent="0.45">
      <c r="F46" s="100">
        <v>42917</v>
      </c>
      <c r="G46" s="101">
        <v>333.21</v>
      </c>
      <c r="H46" s="101">
        <v>10077.1</v>
      </c>
      <c r="I46" s="90">
        <f t="shared" si="2"/>
        <v>4.4917400217048264E-3</v>
      </c>
      <c r="J46" s="95">
        <f t="shared" si="3"/>
        <v>5.8418846957745574E-2</v>
      </c>
      <c r="S46" s="67"/>
    </row>
    <row r="47" spans="6:19" x14ac:dyDescent="0.45">
      <c r="F47" s="100">
        <v>42948</v>
      </c>
      <c r="G47" s="101">
        <v>350.65</v>
      </c>
      <c r="H47" s="101">
        <v>9917.9</v>
      </c>
      <c r="I47" s="90">
        <f t="shared" si="2"/>
        <v>5.2339365565259088E-2</v>
      </c>
      <c r="J47" s="95">
        <f t="shared" si="3"/>
        <v>-1.5798195909537571E-2</v>
      </c>
      <c r="S47" s="67"/>
    </row>
    <row r="48" spans="6:19" x14ac:dyDescent="0.45">
      <c r="F48" s="100">
        <v>42979</v>
      </c>
      <c r="G48" s="101">
        <v>355.34</v>
      </c>
      <c r="H48" s="101">
        <v>9788.6</v>
      </c>
      <c r="I48" s="90">
        <f t="shared" si="2"/>
        <v>1.3375160416369658E-2</v>
      </c>
      <c r="J48" s="95">
        <f t="shared" si="3"/>
        <v>-1.3037034049546703E-2</v>
      </c>
      <c r="S48" s="67"/>
    </row>
    <row r="49" spans="6:19" x14ac:dyDescent="0.45">
      <c r="F49" s="100">
        <v>43009</v>
      </c>
      <c r="G49" s="101">
        <v>356.45</v>
      </c>
      <c r="H49" s="101">
        <v>10335.299999999999</v>
      </c>
      <c r="I49" s="90">
        <f t="shared" si="2"/>
        <v>3.1237687848257867E-3</v>
      </c>
      <c r="J49" s="95">
        <f t="shared" si="3"/>
        <v>5.585068344809252E-2</v>
      </c>
      <c r="S49" s="67"/>
    </row>
    <row r="50" spans="6:19" x14ac:dyDescent="0.45">
      <c r="F50" s="100">
        <v>43040</v>
      </c>
      <c r="G50" s="101">
        <v>377.35</v>
      </c>
      <c r="H50" s="101">
        <v>10226.549999999999</v>
      </c>
      <c r="I50" s="90">
        <f t="shared" si="2"/>
        <v>5.8633749473979702E-2</v>
      </c>
      <c r="J50" s="95">
        <f t="shared" si="3"/>
        <v>-1.0522190937853781E-2</v>
      </c>
      <c r="S50" s="67"/>
    </row>
    <row r="51" spans="6:19" x14ac:dyDescent="0.45">
      <c r="F51" s="100">
        <v>43070</v>
      </c>
      <c r="G51" s="101">
        <v>387.56</v>
      </c>
      <c r="H51" s="101">
        <v>10530.7</v>
      </c>
      <c r="I51" s="90">
        <f t="shared" si="2"/>
        <v>2.7057108784947603E-2</v>
      </c>
      <c r="J51" s="95">
        <f t="shared" si="3"/>
        <v>2.9741212823484187E-2</v>
      </c>
      <c r="S51" s="67"/>
    </row>
    <row r="52" spans="6:19" x14ac:dyDescent="0.45">
      <c r="F52" s="100">
        <v>43101</v>
      </c>
      <c r="G52" s="101">
        <v>367.78</v>
      </c>
      <c r="H52" s="101">
        <v>11027.7</v>
      </c>
      <c r="I52" s="90">
        <f t="shared" si="2"/>
        <v>-5.1037258747032799E-2</v>
      </c>
      <c r="J52" s="95">
        <f t="shared" si="3"/>
        <v>4.7195343139582402E-2</v>
      </c>
      <c r="S52" s="67"/>
    </row>
    <row r="53" spans="6:19" x14ac:dyDescent="0.45">
      <c r="F53" s="100">
        <v>43132</v>
      </c>
      <c r="G53" s="101">
        <v>382.18</v>
      </c>
      <c r="H53" s="101">
        <v>10492.85</v>
      </c>
      <c r="I53" s="90">
        <f t="shared" si="2"/>
        <v>3.9153841970743564E-2</v>
      </c>
      <c r="J53" s="95">
        <f t="shared" si="3"/>
        <v>-4.8500593958849092E-2</v>
      </c>
      <c r="S53" s="67"/>
    </row>
    <row r="54" spans="6:19" x14ac:dyDescent="0.45">
      <c r="F54" s="100">
        <v>43160</v>
      </c>
      <c r="G54" s="101">
        <v>403.94</v>
      </c>
      <c r="H54" s="101">
        <v>10113.700000000001</v>
      </c>
      <c r="I54" s="90">
        <f t="shared" si="2"/>
        <v>5.6936522057669192E-2</v>
      </c>
      <c r="J54" s="95">
        <f t="shared" si="3"/>
        <v>-3.6134129430993478E-2</v>
      </c>
      <c r="S54" s="67"/>
    </row>
    <row r="55" spans="6:19" x14ac:dyDescent="0.45">
      <c r="F55" s="100">
        <v>43191</v>
      </c>
      <c r="G55" s="101">
        <v>462.69</v>
      </c>
      <c r="H55" s="101">
        <v>10739.35</v>
      </c>
      <c r="I55" s="90">
        <f t="shared" si="2"/>
        <v>0.14544239243452006</v>
      </c>
      <c r="J55" s="95">
        <f t="shared" si="3"/>
        <v>6.1861633230172908E-2</v>
      </c>
      <c r="S55" s="67"/>
    </row>
    <row r="56" spans="6:19" x14ac:dyDescent="0.45">
      <c r="F56" s="100">
        <v>43221</v>
      </c>
      <c r="G56" s="101">
        <v>475.36</v>
      </c>
      <c r="H56" s="101">
        <v>10736.15</v>
      </c>
      <c r="I56" s="90">
        <f t="shared" si="2"/>
        <v>2.7383345220342026E-2</v>
      </c>
      <c r="J56" s="95">
        <f t="shared" si="3"/>
        <v>-2.9796961641070929E-4</v>
      </c>
      <c r="S56" s="67"/>
    </row>
    <row r="57" spans="6:19" x14ac:dyDescent="0.45">
      <c r="F57" s="100">
        <v>43252</v>
      </c>
      <c r="G57" s="101">
        <v>483.05</v>
      </c>
      <c r="H57" s="101">
        <v>10714.3</v>
      </c>
      <c r="I57" s="90">
        <f t="shared" si="2"/>
        <v>1.6177213059575868E-2</v>
      </c>
      <c r="J57" s="95">
        <f t="shared" si="3"/>
        <v>-2.0351802089203508E-3</v>
      </c>
      <c r="S57" s="67"/>
    </row>
    <row r="58" spans="6:19" x14ac:dyDescent="0.45">
      <c r="F58" s="100">
        <v>43282</v>
      </c>
      <c r="G58" s="101">
        <v>518.52</v>
      </c>
      <c r="H58" s="101">
        <v>11356.5</v>
      </c>
      <c r="I58" s="90">
        <f t="shared" si="2"/>
        <v>7.3429251630265924E-2</v>
      </c>
      <c r="J58" s="95">
        <f t="shared" si="3"/>
        <v>5.9938586748551126E-2</v>
      </c>
      <c r="S58" s="67"/>
    </row>
    <row r="59" spans="6:19" x14ac:dyDescent="0.45">
      <c r="F59" s="100">
        <v>43313</v>
      </c>
      <c r="G59" s="101">
        <v>570.30999999999995</v>
      </c>
      <c r="H59" s="101">
        <v>11680.5</v>
      </c>
      <c r="I59" s="90">
        <f t="shared" si="2"/>
        <v>9.9880428913060149E-2</v>
      </c>
      <c r="J59" s="95">
        <f t="shared" si="3"/>
        <v>2.8529916787742637E-2</v>
      </c>
      <c r="S59" s="67"/>
    </row>
    <row r="60" spans="6:19" x14ac:dyDescent="0.45">
      <c r="F60" s="100">
        <v>43344</v>
      </c>
      <c r="G60" s="101">
        <v>477.61</v>
      </c>
      <c r="H60" s="101">
        <v>10930.45</v>
      </c>
      <c r="I60" s="90">
        <f t="shared" si="2"/>
        <v>-0.16254317827146625</v>
      </c>
      <c r="J60" s="95">
        <f t="shared" si="3"/>
        <v>-6.42138607080176E-2</v>
      </c>
      <c r="S60" s="67"/>
    </row>
    <row r="61" spans="6:19" x14ac:dyDescent="0.45">
      <c r="F61" s="100">
        <v>43374</v>
      </c>
      <c r="G61" s="101">
        <v>499.68</v>
      </c>
      <c r="H61" s="101">
        <v>10386.6</v>
      </c>
      <c r="I61" s="90">
        <f t="shared" si="2"/>
        <v>4.6209250225079046E-2</v>
      </c>
      <c r="J61" s="95">
        <f t="shared" si="3"/>
        <v>-4.975549954484948E-2</v>
      </c>
      <c r="S61" s="67"/>
    </row>
    <row r="62" spans="6:19" x14ac:dyDescent="0.45">
      <c r="F62" s="100">
        <v>43405</v>
      </c>
      <c r="G62" s="101">
        <v>530.05999999999995</v>
      </c>
      <c r="H62" s="101">
        <v>10876.75</v>
      </c>
      <c r="I62" s="90">
        <f t="shared" si="2"/>
        <v>6.0798911303233893E-2</v>
      </c>
      <c r="J62" s="95">
        <f t="shared" si="3"/>
        <v>4.7190610979531256E-2</v>
      </c>
      <c r="S62" s="67"/>
    </row>
    <row r="63" spans="6:19" x14ac:dyDescent="0.45">
      <c r="F63" s="100">
        <v>43435</v>
      </c>
      <c r="G63" s="101">
        <v>545.82000000000005</v>
      </c>
      <c r="H63" s="101">
        <v>10862.55</v>
      </c>
      <c r="I63" s="90">
        <f t="shared" si="2"/>
        <v>2.9732483115119335E-2</v>
      </c>
      <c r="J63" s="95">
        <f t="shared" si="3"/>
        <v>-1.3055370400165689E-3</v>
      </c>
    </row>
  </sheetData>
  <sheetProtection algorithmName="SHA-512" hashValue="AgTAUNOQsynSWR/n9JvW8lAzH3vkwmaiMXOOC5bqg2kPoyaclEMnvURICB01WBBWtFzxn35ut8rOI4oWqv3kIw==" saltValue="dfBfmCQqctNwg+EhQsaWdw==" spinCount="100000" sheet="1" objects="1" scenarios="1"/>
  <mergeCells count="12">
    <mergeCell ref="J2:J3"/>
    <mergeCell ref="K2:K3"/>
    <mergeCell ref="F2:F3"/>
    <mergeCell ref="G2:G3"/>
    <mergeCell ref="H2:H3"/>
    <mergeCell ref="I2:I3"/>
    <mergeCell ref="D2:D3"/>
    <mergeCell ref="B2:C3"/>
    <mergeCell ref="B21:C21"/>
    <mergeCell ref="B17:C18"/>
    <mergeCell ref="B13:C13"/>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B1:B11"/>
  <sheetViews>
    <sheetView showGridLines="0" workbookViewId="0">
      <selection activeCell="H43" sqref="H43"/>
    </sheetView>
  </sheetViews>
  <sheetFormatPr defaultColWidth="9.08203125" defaultRowHeight="11.5" x14ac:dyDescent="0.25"/>
  <cols>
    <col min="1" max="1" width="2" style="2" customWidth="1"/>
    <col min="2" max="4" width="9.08203125" style="2" customWidth="1"/>
    <col min="5" max="16384" width="9.08203125" style="2"/>
  </cols>
  <sheetData>
    <row r="1" spans="2:2" ht="15.75" customHeight="1" x14ac:dyDescent="0.35">
      <c r="B1" s="1"/>
    </row>
    <row r="11" spans="2:2" ht="50.25" customHeight="1" x14ac:dyDescent="1">
      <c r="B11" s="3" t="s">
        <v>141</v>
      </c>
    </row>
  </sheetData>
  <sheetProtection algorithmName="SHA-512" hashValue="g1ltL0LyH0EyKxwi47B5R7YoxD5JdVkLEWl2FpaWjJRbHtkoVG+NbL64/DvX8sbOB/jN35d44SzVd+MH/Y8HNg==" saltValue="uLdP0xyMWGs9K4ckKGGM2g==" spinCount="100000" sheet="1" objects="1" scenarios="1"/>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6"/>
  <sheetViews>
    <sheetView showGridLines="0" workbookViewId="0">
      <selection activeCell="B8" sqref="B8"/>
    </sheetView>
  </sheetViews>
  <sheetFormatPr defaultColWidth="10.83203125" defaultRowHeight="18.5" x14ac:dyDescent="0.45"/>
  <cols>
    <col min="1" max="1" width="2.08203125" style="23" customWidth="1"/>
    <col min="2" max="2" width="39.08203125" style="23" customWidth="1"/>
    <col min="3" max="7" width="13.5" style="23" customWidth="1"/>
    <col min="8" max="8" width="23.5" style="23" bestFit="1" customWidth="1"/>
    <col min="9" max="11" width="10.83203125" style="23" customWidth="1"/>
    <col min="12" max="16384" width="10.83203125" style="23"/>
  </cols>
  <sheetData>
    <row r="1" spans="1:8" s="168" customFormat="1" ht="26.25" customHeight="1" x14ac:dyDescent="0.6">
      <c r="A1" s="168" t="s">
        <v>142</v>
      </c>
    </row>
    <row r="2" spans="1:8" x14ac:dyDescent="0.45">
      <c r="B2" s="109" t="s">
        <v>143</v>
      </c>
      <c r="C2" s="109"/>
      <c r="D2" s="109"/>
    </row>
    <row r="3" spans="1:8" ht="18.75" customHeight="1" x14ac:dyDescent="0.45">
      <c r="B3" s="110" t="s">
        <v>144</v>
      </c>
      <c r="C3" s="110"/>
      <c r="D3" s="110"/>
    </row>
    <row r="5" spans="1:8" x14ac:dyDescent="0.45">
      <c r="B5" s="111" t="s">
        <v>145</v>
      </c>
      <c r="C5" s="112">
        <v>41974</v>
      </c>
      <c r="D5" s="112">
        <v>42339</v>
      </c>
      <c r="E5" s="112">
        <v>42705</v>
      </c>
      <c r="F5" s="112">
        <v>43070</v>
      </c>
      <c r="G5" s="112">
        <v>43435</v>
      </c>
    </row>
    <row r="6" spans="1:8" x14ac:dyDescent="0.45">
      <c r="B6" s="23" t="s">
        <v>146</v>
      </c>
      <c r="C6" s="113">
        <v>101295</v>
      </c>
      <c r="D6" s="113">
        <v>84304.4</v>
      </c>
      <c r="E6" s="113">
        <v>94096</v>
      </c>
      <c r="F6" s="113">
        <v>101351.1</v>
      </c>
      <c r="G6" s="113">
        <v>112162.3</v>
      </c>
    </row>
    <row r="7" spans="1:8" x14ac:dyDescent="0.45">
      <c r="B7" s="23" t="s">
        <v>147</v>
      </c>
      <c r="C7" s="113">
        <f>485.7</f>
        <v>485.7</v>
      </c>
      <c r="D7" s="113">
        <v>520.4</v>
      </c>
      <c r="E7" s="113">
        <v>649.70000000000005</v>
      </c>
      <c r="F7" s="113">
        <v>570.70000000000005</v>
      </c>
      <c r="G7" s="113">
        <v>760.4</v>
      </c>
    </row>
    <row r="8" spans="1:8" x14ac:dyDescent="0.45">
      <c r="B8" s="23" t="s">
        <v>148</v>
      </c>
      <c r="C8" s="113">
        <v>-3232.3</v>
      </c>
      <c r="D8" s="113">
        <v>-3071.7</v>
      </c>
      <c r="E8" s="113">
        <v>-3332.3</v>
      </c>
      <c r="F8" s="113">
        <f>-1825.8</f>
        <v>-1825.8</v>
      </c>
      <c r="G8" s="113">
        <v>0</v>
      </c>
    </row>
    <row r="9" spans="1:8" ht="18.75" customHeight="1" x14ac:dyDescent="0.45">
      <c r="B9" s="114" t="s">
        <v>17</v>
      </c>
      <c r="C9" s="115">
        <f>SUM(C6:C8)</f>
        <v>98548.4</v>
      </c>
      <c r="D9" s="115">
        <f>SUM(D6:D8)</f>
        <v>81753.099999999991</v>
      </c>
      <c r="E9" s="115">
        <f>SUM(E6:E8)</f>
        <v>91413.4</v>
      </c>
      <c r="F9" s="115">
        <f>SUM(F6:F8)</f>
        <v>100096</v>
      </c>
      <c r="G9" s="115">
        <f>SUM(G6:G8)</f>
        <v>112922.7</v>
      </c>
      <c r="H9" s="116" t="s">
        <v>149</v>
      </c>
    </row>
    <row r="10" spans="1:8" x14ac:dyDescent="0.45">
      <c r="B10" s="23" t="s">
        <v>150</v>
      </c>
      <c r="C10" s="117"/>
      <c r="D10" s="117"/>
      <c r="E10" s="117"/>
      <c r="F10" s="117"/>
      <c r="G10" s="117"/>
    </row>
    <row r="11" spans="1:8" ht="18.75" customHeight="1" x14ac:dyDescent="0.45">
      <c r="B11" s="23" t="s">
        <v>151</v>
      </c>
      <c r="C11" s="113">
        <f>-44825.4-1088.5+674.3</f>
        <v>-45239.6</v>
      </c>
      <c r="D11" s="113">
        <f>-33588.7-980.7-119.7</f>
        <v>-34689.099999999991</v>
      </c>
      <c r="E11" s="113">
        <f>-37750.9-1153.8+76.6</f>
        <v>-38828.100000000006</v>
      </c>
      <c r="F11" s="113">
        <f>(-42316-1747.6+795.6)</f>
        <v>-43268</v>
      </c>
      <c r="G11" s="113">
        <f>(-43656.8-2305.6+60.1)</f>
        <v>-45902.3</v>
      </c>
      <c r="H11" s="116" t="s">
        <v>149</v>
      </c>
    </row>
    <row r="12" spans="1:8" ht="18.75" customHeight="1" x14ac:dyDescent="0.45">
      <c r="B12" s="23" t="s">
        <v>21</v>
      </c>
      <c r="C12" s="113">
        <f>-7722.2-23840.3-364.3</f>
        <v>-31926.799999999999</v>
      </c>
      <c r="D12" s="113">
        <f>-8374.3-21264.3- 333.1</f>
        <v>-29971.699999999997</v>
      </c>
      <c r="E12" s="113">
        <f>-9015.7-22954.6-1684.7</f>
        <v>-33655</v>
      </c>
      <c r="F12" s="113">
        <f>(-10174.5-24170.2-876.5)</f>
        <v>-35221.199999999997</v>
      </c>
      <c r="G12" s="113">
        <f>(-11241.5-28181.1-1036.8)</f>
        <v>-40459.4</v>
      </c>
      <c r="H12" s="116" t="s">
        <v>149</v>
      </c>
    </row>
    <row r="13" spans="1:8" ht="18.75" customHeight="1" x14ac:dyDescent="0.45">
      <c r="B13" s="118" t="s">
        <v>152</v>
      </c>
      <c r="C13" s="119">
        <f>SUM(C11:C12)</f>
        <v>-77166.399999999994</v>
      </c>
      <c r="D13" s="119">
        <f>SUM(D11:D12)</f>
        <v>-64660.799999999988</v>
      </c>
      <c r="E13" s="119">
        <f>SUM(E11:E12)</f>
        <v>-72483.100000000006</v>
      </c>
      <c r="F13" s="119">
        <f>SUM(F11:F12)</f>
        <v>-78489.2</v>
      </c>
      <c r="G13" s="119">
        <f>SUM(G11:G12)</f>
        <v>-86361.700000000012</v>
      </c>
    </row>
    <row r="14" spans="1:8" x14ac:dyDescent="0.45">
      <c r="B14" s="111" t="s">
        <v>51</v>
      </c>
      <c r="C14" s="120">
        <f>C9+C13</f>
        <v>21382</v>
      </c>
      <c r="D14" s="120">
        <f>D9+D13</f>
        <v>17092.300000000003</v>
      </c>
      <c r="E14" s="120">
        <f>E9+E13</f>
        <v>18930.299999999988</v>
      </c>
      <c r="F14" s="120">
        <f>F9+F13</f>
        <v>21606.800000000003</v>
      </c>
      <c r="G14" s="120">
        <f>G9+G13</f>
        <v>26560.999999999985</v>
      </c>
    </row>
    <row r="15" spans="1:8" ht="18.75" customHeight="1" x14ac:dyDescent="0.45">
      <c r="B15" s="23" t="s">
        <v>153</v>
      </c>
      <c r="C15" s="113">
        <v>-3375.4</v>
      </c>
      <c r="D15" s="113">
        <v>-3472.6</v>
      </c>
      <c r="E15" s="113">
        <v>-3536.7</v>
      </c>
      <c r="F15" s="113">
        <v>-3422.5</v>
      </c>
      <c r="G15" s="113">
        <v>-3356.7</v>
      </c>
      <c r="H15" s="116" t="s">
        <v>149</v>
      </c>
    </row>
    <row r="16" spans="1:8" x14ac:dyDescent="0.45">
      <c r="B16" s="121" t="s">
        <v>53</v>
      </c>
      <c r="C16" s="122">
        <f>C14+C15</f>
        <v>18006.599999999999</v>
      </c>
      <c r="D16" s="122">
        <f>D14+D15</f>
        <v>13619.700000000003</v>
      </c>
      <c r="E16" s="122">
        <f>E14+E15</f>
        <v>15393.599999999988</v>
      </c>
      <c r="F16" s="122">
        <f>F14+F15</f>
        <v>18184.300000000003</v>
      </c>
      <c r="G16" s="122">
        <f>G14+G15</f>
        <v>23204.299999999985</v>
      </c>
    </row>
    <row r="17" spans="2:8" ht="18.75" customHeight="1" x14ac:dyDescent="0.45">
      <c r="B17" s="23" t="s">
        <v>154</v>
      </c>
      <c r="C17" s="113">
        <f>873.2</f>
        <v>873.2</v>
      </c>
      <c r="D17" s="113">
        <f>1100.9</f>
        <v>1100.9000000000001</v>
      </c>
      <c r="E17" s="113">
        <v>1509</v>
      </c>
      <c r="F17" s="113">
        <v>1769.2</v>
      </c>
      <c r="G17" s="113">
        <v>2589.1999999999998</v>
      </c>
      <c r="H17" s="116" t="s">
        <v>155</v>
      </c>
    </row>
    <row r="18" spans="2:8" ht="18.75" customHeight="1" x14ac:dyDescent="0.45">
      <c r="B18" s="23" t="s">
        <v>156</v>
      </c>
      <c r="C18" s="113">
        <f>-142.3</f>
        <v>-142.30000000000001</v>
      </c>
      <c r="D18" s="113">
        <v>-32.9</v>
      </c>
      <c r="E18" s="113">
        <v>-909.1</v>
      </c>
      <c r="F18" s="113">
        <v>-919</v>
      </c>
      <c r="G18" s="113">
        <v>-1119.5</v>
      </c>
      <c r="H18" s="116" t="s">
        <v>155</v>
      </c>
    </row>
    <row r="19" spans="2:8" ht="18.75" customHeight="1" x14ac:dyDescent="0.45">
      <c r="B19" s="23" t="s">
        <v>157</v>
      </c>
      <c r="C19" s="113">
        <f>-81.1-648.3-249.5+70-85.1</f>
        <v>-994</v>
      </c>
      <c r="D19" s="113">
        <f>-282.2-301.5-753.2-5008.4-206.1</f>
        <v>-6551.4</v>
      </c>
      <c r="E19" s="113">
        <f>-118.3-313.6-107.8</f>
        <v>-539.70000000000005</v>
      </c>
      <c r="F19" s="113">
        <f>(-371.8-269.1)</f>
        <v>-640.90000000000009</v>
      </c>
      <c r="G19" s="113">
        <f>(-110.8-273.7)</f>
        <v>-384.5</v>
      </c>
      <c r="H19" s="116" t="s">
        <v>155</v>
      </c>
    </row>
    <row r="20" spans="2:8" x14ac:dyDescent="0.45">
      <c r="B20" s="123" t="s">
        <v>158</v>
      </c>
      <c r="C20" s="124">
        <f>C16+SUM(C17:C19)</f>
        <v>17743.5</v>
      </c>
      <c r="D20" s="124">
        <f>D16+SUM(D17:D19)</f>
        <v>8136.3000000000029</v>
      </c>
      <c r="E20" s="124">
        <f>E16+SUM(E17:E19)</f>
        <v>15453.799999999988</v>
      </c>
      <c r="F20" s="124">
        <f>F16+SUM(F17:F19)</f>
        <v>18393.600000000002</v>
      </c>
      <c r="G20" s="124">
        <f>G16+SUM(G17:G19)</f>
        <v>24289.499999999985</v>
      </c>
    </row>
    <row r="21" spans="2:8" ht="18.75" customHeight="1" x14ac:dyDescent="0.45">
      <c r="B21" s="23" t="s">
        <v>159</v>
      </c>
      <c r="C21" s="113">
        <v>-5896.6</v>
      </c>
      <c r="D21" s="113">
        <v>-2503.6</v>
      </c>
      <c r="E21" s="113">
        <v>-5440.2</v>
      </c>
      <c r="F21" s="113">
        <v>-6141.1</v>
      </c>
      <c r="G21" s="113">
        <v>-8220.2000000000007</v>
      </c>
      <c r="H21" s="116" t="s">
        <v>149</v>
      </c>
    </row>
    <row r="22" spans="2:8" ht="18.75" customHeight="1" thickBot="1" x14ac:dyDescent="0.5">
      <c r="B22" s="125" t="s">
        <v>160</v>
      </c>
      <c r="C22" s="126">
        <f>SUM(C20:C21)</f>
        <v>11846.9</v>
      </c>
      <c r="D22" s="126">
        <f>SUM(D20:D21)</f>
        <v>5632.7000000000025</v>
      </c>
      <c r="E22" s="126">
        <f>SUM(E20:E21)</f>
        <v>10013.599999999988</v>
      </c>
      <c r="F22" s="126">
        <f>SUM(F20:F21)</f>
        <v>12252.500000000002</v>
      </c>
      <c r="G22" s="126">
        <f>SUM(G20:G21)</f>
        <v>16069.299999999985</v>
      </c>
    </row>
    <row r="23" spans="2:8" ht="18.75" customHeight="1" thickTop="1" x14ac:dyDescent="0.45">
      <c r="C23" s="127"/>
      <c r="D23" s="127"/>
      <c r="E23" s="127"/>
      <c r="F23" s="127"/>
      <c r="G23" s="127"/>
    </row>
    <row r="24" spans="2:8" x14ac:dyDescent="0.45">
      <c r="C24" s="127"/>
      <c r="D24" s="127"/>
      <c r="E24" s="127"/>
      <c r="F24" s="127"/>
      <c r="G24" s="127"/>
    </row>
    <row r="25" spans="2:8" x14ac:dyDescent="0.45">
      <c r="E25" s="128"/>
      <c r="F25" s="128"/>
      <c r="G25" s="128"/>
    </row>
    <row r="26" spans="2:8" x14ac:dyDescent="0.45">
      <c r="E26" s="128"/>
      <c r="F26" s="128"/>
      <c r="G26" s="128"/>
    </row>
  </sheetData>
  <sheetProtection algorithmName="SHA-512" hashValue="Jp3TZs6fo+YL+zc+p7eILikKEq5kjgjLsJlAmhyS1TdiycY0m1qsnlEUa3G7uW0v+gmWvtnPXOxe9db+OwjFqA==" saltValue="jPGVxUF1O/vDWOK389y3iQ==" spinCount="100000" sheet="1" objects="1" scenarios="1"/>
  <mergeCells count="1">
    <mergeCell ref="A1:XF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5"/>
  <sheetViews>
    <sheetView showGridLines="0" topLeftCell="A27" zoomScale="110" zoomScaleNormal="110" workbookViewId="0">
      <selection activeCell="F40" sqref="F40"/>
    </sheetView>
  </sheetViews>
  <sheetFormatPr defaultColWidth="10.83203125" defaultRowHeight="18.5" x14ac:dyDescent="0.45"/>
  <cols>
    <col min="1" max="1" width="2.08203125" style="23" customWidth="1"/>
    <col min="2" max="2" width="37.33203125" style="23" bestFit="1" customWidth="1"/>
    <col min="3" max="7" width="12.83203125" style="23" bestFit="1" customWidth="1"/>
    <col min="8" max="8" width="78.83203125" style="23" bestFit="1" customWidth="1"/>
    <col min="9" max="11" width="10.83203125" style="23" customWidth="1"/>
    <col min="12" max="16384" width="10.83203125" style="23"/>
  </cols>
  <sheetData>
    <row r="1" spans="1:8" s="168" customFormat="1" ht="26.25" customHeight="1" x14ac:dyDescent="0.6">
      <c r="A1" s="168" t="s">
        <v>142</v>
      </c>
    </row>
    <row r="2" spans="1:8" x14ac:dyDescent="0.45">
      <c r="B2" s="109" t="s">
        <v>57</v>
      </c>
      <c r="C2" s="109"/>
      <c r="D2" s="109"/>
    </row>
    <row r="3" spans="1:8" ht="18.75" customHeight="1" x14ac:dyDescent="0.45">
      <c r="B3" s="110" t="s">
        <v>144</v>
      </c>
      <c r="C3" s="110"/>
      <c r="D3" s="110"/>
    </row>
    <row r="5" spans="1:8" x14ac:dyDescent="0.45">
      <c r="B5" s="111" t="s">
        <v>145</v>
      </c>
      <c r="C5" s="112">
        <v>41974</v>
      </c>
      <c r="D5" s="112">
        <v>42339</v>
      </c>
      <c r="E5" s="112">
        <v>42705</v>
      </c>
      <c r="F5" s="112">
        <v>43070</v>
      </c>
      <c r="G5" s="112">
        <v>43435</v>
      </c>
    </row>
    <row r="6" spans="1:8" x14ac:dyDescent="0.45">
      <c r="B6" s="23" t="s">
        <v>161</v>
      </c>
    </row>
    <row r="7" spans="1:8" ht="18.75" customHeight="1" x14ac:dyDescent="0.45">
      <c r="B7" s="110" t="s">
        <v>162</v>
      </c>
      <c r="C7" s="110"/>
      <c r="D7" s="110"/>
    </row>
    <row r="8" spans="1:8" ht="18.75" customHeight="1" x14ac:dyDescent="0.45">
      <c r="B8" s="23" t="s">
        <v>163</v>
      </c>
      <c r="C8" s="113">
        <v>34214.199999999997</v>
      </c>
      <c r="D8" s="113">
        <v>31286.400000000001</v>
      </c>
      <c r="E8" s="113">
        <v>29183.1</v>
      </c>
      <c r="F8" s="113">
        <v>27103.4</v>
      </c>
      <c r="G8" s="113">
        <v>25058.2</v>
      </c>
      <c r="H8" s="116" t="s">
        <v>149</v>
      </c>
    </row>
    <row r="9" spans="1:8" ht="18.75" customHeight="1" x14ac:dyDescent="0.45">
      <c r="B9" s="23" t="s">
        <v>164</v>
      </c>
      <c r="C9" s="117"/>
      <c r="D9" s="113">
        <v>676.9</v>
      </c>
      <c r="E9" s="113">
        <v>706.7</v>
      </c>
      <c r="F9" s="113">
        <v>832.3</v>
      </c>
      <c r="G9" s="113">
        <v>718.1</v>
      </c>
      <c r="H9" s="116" t="s">
        <v>149</v>
      </c>
    </row>
    <row r="10" spans="1:8" ht="18.75" customHeight="1" x14ac:dyDescent="0.45">
      <c r="B10" s="23" t="s">
        <v>165</v>
      </c>
      <c r="C10" s="113">
        <v>3044.6</v>
      </c>
      <c r="D10" s="113">
        <v>3417.8</v>
      </c>
      <c r="E10" s="113">
        <v>4743.1000000000004</v>
      </c>
      <c r="F10" s="113">
        <v>5852.8</v>
      </c>
      <c r="G10" s="113">
        <v>7333.6</v>
      </c>
      <c r="H10" s="116" t="s">
        <v>155</v>
      </c>
    </row>
    <row r="11" spans="1:8" ht="18.75" customHeight="1" x14ac:dyDescent="0.45">
      <c r="B11" s="23" t="s">
        <v>166</v>
      </c>
      <c r="C11" s="113">
        <v>1299.5</v>
      </c>
      <c r="D11" s="113">
        <v>627.4</v>
      </c>
      <c r="E11" s="113">
        <v>643.70000000000005</v>
      </c>
      <c r="F11" s="113">
        <v>463.5</v>
      </c>
      <c r="G11" s="113">
        <v>401.4</v>
      </c>
      <c r="H11" s="116" t="s">
        <v>155</v>
      </c>
    </row>
    <row r="12" spans="1:8" ht="18.75" customHeight="1" x14ac:dyDescent="0.45">
      <c r="B12" s="118" t="s">
        <v>167</v>
      </c>
      <c r="C12" s="119">
        <f>SUM(C8:C11)</f>
        <v>38558.299999999996</v>
      </c>
      <c r="D12" s="119">
        <f>SUM(D8:D11)</f>
        <v>36008.500000000007</v>
      </c>
      <c r="E12" s="119">
        <f>SUM(E8:E11)</f>
        <v>35276.6</v>
      </c>
      <c r="F12" s="119">
        <f>SUM(F8:F11)</f>
        <v>34252</v>
      </c>
      <c r="G12" s="119">
        <f>SUM(G8:G11)</f>
        <v>33511.300000000003</v>
      </c>
    </row>
    <row r="13" spans="1:8" x14ac:dyDescent="0.45">
      <c r="B13" s="109"/>
      <c r="C13" s="129"/>
      <c r="D13" s="129"/>
      <c r="E13" s="109"/>
      <c r="F13" s="109"/>
      <c r="G13" s="109"/>
    </row>
    <row r="14" spans="1:8" ht="18.75" customHeight="1" x14ac:dyDescent="0.45">
      <c r="B14" s="110" t="s">
        <v>168</v>
      </c>
      <c r="C14" s="130"/>
      <c r="D14" s="130"/>
    </row>
    <row r="15" spans="1:8" ht="18.75" customHeight="1" x14ac:dyDescent="0.45">
      <c r="B15" s="23" t="s">
        <v>169</v>
      </c>
      <c r="C15" s="113">
        <v>4458.2</v>
      </c>
      <c r="D15" s="113">
        <f>4892.7+102.8</f>
        <v>4995.5</v>
      </c>
      <c r="E15" s="113">
        <f>8693.2+106.8</f>
        <v>8800</v>
      </c>
      <c r="F15" s="113">
        <f>(14476.9+97.3)</f>
        <v>14574.199999999999</v>
      </c>
      <c r="G15" s="113">
        <f>(15987.7+112.9)</f>
        <v>16100.6</v>
      </c>
      <c r="H15" s="116" t="s">
        <v>149</v>
      </c>
    </row>
    <row r="16" spans="1:8" ht="18.75" customHeight="1" x14ac:dyDescent="0.45">
      <c r="B16" s="23" t="s">
        <v>165</v>
      </c>
      <c r="C16" s="113">
        <v>5073.6000000000004</v>
      </c>
      <c r="D16" s="113">
        <v>9879.4</v>
      </c>
      <c r="E16" s="113">
        <v>12813.5</v>
      </c>
      <c r="F16" s="113">
        <v>13935.9</v>
      </c>
      <c r="G16" s="113">
        <v>19251.3</v>
      </c>
      <c r="H16" s="116" t="s">
        <v>170</v>
      </c>
    </row>
    <row r="17" spans="2:8" ht="18.75" customHeight="1" x14ac:dyDescent="0.45">
      <c r="B17" s="23" t="s">
        <v>171</v>
      </c>
      <c r="C17" s="113">
        <v>8441</v>
      </c>
      <c r="D17" s="113">
        <v>8208.1</v>
      </c>
      <c r="E17" s="113">
        <v>9400.6</v>
      </c>
      <c r="F17" s="113">
        <v>9024.7000000000007</v>
      </c>
      <c r="G17" s="113">
        <v>9655.5</v>
      </c>
      <c r="H17" s="116" t="s">
        <v>149</v>
      </c>
    </row>
    <row r="18" spans="2:8" ht="18.75" customHeight="1" x14ac:dyDescent="0.45">
      <c r="B18" s="23" t="s">
        <v>172</v>
      </c>
      <c r="C18" s="113">
        <v>991</v>
      </c>
      <c r="D18" s="113">
        <v>784.2</v>
      </c>
      <c r="E18" s="113">
        <v>979.3</v>
      </c>
      <c r="F18" s="113">
        <v>889.7</v>
      </c>
      <c r="G18" s="113">
        <v>1245.9000000000001</v>
      </c>
      <c r="H18" s="116" t="s">
        <v>149</v>
      </c>
    </row>
    <row r="19" spans="2:8" ht="18.75" customHeight="1" x14ac:dyDescent="0.45">
      <c r="B19" s="23" t="s">
        <v>173</v>
      </c>
      <c r="C19" s="113">
        <v>152.19999999999999</v>
      </c>
      <c r="D19" s="113">
        <f>304.8</f>
        <v>304.8</v>
      </c>
      <c r="E19" s="113">
        <f>314.6</f>
        <v>314.60000000000002</v>
      </c>
      <c r="F19" s="113">
        <f>169.6</f>
        <v>169.6</v>
      </c>
      <c r="G19" s="113">
        <f>(223.9)</f>
        <v>223.9</v>
      </c>
      <c r="H19" s="116" t="s">
        <v>149</v>
      </c>
    </row>
    <row r="20" spans="2:8" ht="18.75" customHeight="1" x14ac:dyDescent="0.45">
      <c r="B20" s="23" t="s">
        <v>174</v>
      </c>
      <c r="C20" s="113">
        <v>0</v>
      </c>
      <c r="D20" s="113">
        <f>327.6</f>
        <v>327.60000000000002</v>
      </c>
      <c r="E20" s="113">
        <f>27.3</f>
        <v>27.3</v>
      </c>
      <c r="F20" s="113">
        <v>63.9</v>
      </c>
      <c r="G20" s="113">
        <v>188.5</v>
      </c>
      <c r="H20" s="116" t="s">
        <v>149</v>
      </c>
    </row>
    <row r="21" spans="2:8" ht="18.75" customHeight="1" x14ac:dyDescent="0.45">
      <c r="B21" s="23" t="s">
        <v>175</v>
      </c>
      <c r="C21" s="113">
        <v>520.70000000000005</v>
      </c>
      <c r="D21" s="113">
        <f>181.7+222.7</f>
        <v>404.4</v>
      </c>
      <c r="E21" s="113">
        <f>166+326.7</f>
        <v>492.7</v>
      </c>
      <c r="F21" s="113">
        <f>(288+427.9)</f>
        <v>715.9</v>
      </c>
      <c r="G21" s="113">
        <f>(178.9+524.9)</f>
        <v>703.8</v>
      </c>
      <c r="H21" s="116" t="s">
        <v>176</v>
      </c>
    </row>
    <row r="22" spans="2:8" ht="18.75" customHeight="1" x14ac:dyDescent="0.45">
      <c r="B22" s="118" t="s">
        <v>177</v>
      </c>
      <c r="C22" s="119">
        <f>SUM(C15:C21)</f>
        <v>19636.7</v>
      </c>
      <c r="D22" s="119">
        <f>SUM(D15:D21)</f>
        <v>24904</v>
      </c>
      <c r="E22" s="119">
        <f>SUM(E15:E21)</f>
        <v>32827.999999999993</v>
      </c>
      <c r="F22" s="119">
        <f>SUM(F15:F21)</f>
        <v>39373.9</v>
      </c>
      <c r="G22" s="119">
        <f>SUM(G15:G21)</f>
        <v>47369.500000000007</v>
      </c>
    </row>
    <row r="23" spans="2:8" ht="18.75" customHeight="1" thickBot="1" x14ac:dyDescent="0.5">
      <c r="B23" s="131" t="s">
        <v>178</v>
      </c>
      <c r="C23" s="132">
        <f>C12+C22</f>
        <v>58195</v>
      </c>
      <c r="D23" s="132">
        <f>D12+D22</f>
        <v>60912.500000000007</v>
      </c>
      <c r="E23" s="132">
        <f>E12+E22</f>
        <v>68104.599999999991</v>
      </c>
      <c r="F23" s="132">
        <f>F12+F22</f>
        <v>73625.899999999994</v>
      </c>
      <c r="G23" s="132">
        <f>G12+G22</f>
        <v>80880.800000000017</v>
      </c>
    </row>
    <row r="24" spans="2:8" x14ac:dyDescent="0.45">
      <c r="C24" s="117"/>
      <c r="D24" s="117"/>
    </row>
    <row r="25" spans="2:8" x14ac:dyDescent="0.45">
      <c r="B25" s="111" t="s">
        <v>145</v>
      </c>
      <c r="C25" s="133">
        <v>41974</v>
      </c>
      <c r="D25" s="133">
        <v>42339</v>
      </c>
      <c r="E25" s="133">
        <v>42705</v>
      </c>
      <c r="F25" s="133">
        <v>43070</v>
      </c>
      <c r="G25" s="133">
        <v>43435</v>
      </c>
    </row>
    <row r="26" spans="2:8" x14ac:dyDescent="0.45">
      <c r="B26" s="23" t="s">
        <v>179</v>
      </c>
      <c r="C26" s="117"/>
      <c r="D26" s="117"/>
    </row>
    <row r="27" spans="2:8" ht="18.75" customHeight="1" x14ac:dyDescent="0.45">
      <c r="B27" s="110" t="s">
        <v>180</v>
      </c>
      <c r="C27" s="130"/>
      <c r="D27" s="130"/>
    </row>
    <row r="28" spans="2:8" ht="18.75" customHeight="1" x14ac:dyDescent="0.45">
      <c r="B28" s="23" t="s">
        <v>181</v>
      </c>
      <c r="C28" s="113">
        <v>154.6</v>
      </c>
      <c r="D28" s="113">
        <v>167.9</v>
      </c>
      <c r="E28" s="113">
        <v>331.5</v>
      </c>
      <c r="F28" s="113">
        <v>351.4</v>
      </c>
      <c r="G28" s="113">
        <v>351.4</v>
      </c>
      <c r="H28" s="116" t="s">
        <v>176</v>
      </c>
    </row>
    <row r="29" spans="2:8" ht="18.75" customHeight="1" x14ac:dyDescent="0.45">
      <c r="B29" s="23" t="s">
        <v>182</v>
      </c>
      <c r="C29" s="113">
        <v>2227.1999999999998</v>
      </c>
      <c r="D29" s="113">
        <v>1747</v>
      </c>
      <c r="E29" s="113">
        <v>1553.4</v>
      </c>
      <c r="F29" s="113">
        <v>1219.5999999999999</v>
      </c>
      <c r="G29" s="113">
        <v>588.20000000000005</v>
      </c>
      <c r="H29" s="116" t="s">
        <v>176</v>
      </c>
    </row>
    <row r="30" spans="2:8" ht="18.75" customHeight="1" x14ac:dyDescent="0.45">
      <c r="B30" s="23" t="s">
        <v>183</v>
      </c>
      <c r="C30" s="113">
        <v>0</v>
      </c>
      <c r="D30" s="113">
        <v>0</v>
      </c>
      <c r="E30" s="113">
        <v>6.8</v>
      </c>
      <c r="F30" s="113">
        <v>6</v>
      </c>
      <c r="G30" s="113">
        <v>5.0999999999999996</v>
      </c>
      <c r="H30" s="116" t="s">
        <v>176</v>
      </c>
    </row>
    <row r="31" spans="2:8" ht="18.75" customHeight="1" x14ac:dyDescent="0.45">
      <c r="B31" s="23" t="s">
        <v>184</v>
      </c>
      <c r="C31" s="113">
        <v>13886.6</v>
      </c>
      <c r="D31" s="113">
        <v>15971.7</v>
      </c>
      <c r="E31" s="113">
        <v>19722.099999999999</v>
      </c>
      <c r="F31" s="113">
        <v>22915.9</v>
      </c>
      <c r="G31" s="113">
        <v>24649.200000000001</v>
      </c>
      <c r="H31" s="116" t="s">
        <v>176</v>
      </c>
    </row>
    <row r="32" spans="2:8" ht="18.75" customHeight="1" x14ac:dyDescent="0.45">
      <c r="B32" s="23" t="s">
        <v>185</v>
      </c>
      <c r="C32" s="113">
        <v>28372.1</v>
      </c>
      <c r="D32" s="113">
        <v>30358.6</v>
      </c>
      <c r="E32" s="113">
        <v>32823.300000000003</v>
      </c>
      <c r="F32" s="113">
        <v>34205.9</v>
      </c>
      <c r="G32" s="113">
        <v>36737.4</v>
      </c>
      <c r="H32" s="116" t="s">
        <v>176</v>
      </c>
    </row>
    <row r="33" spans="2:8" ht="18.75" customHeight="1" x14ac:dyDescent="0.45">
      <c r="B33" s="118" t="s">
        <v>186</v>
      </c>
      <c r="C33" s="119">
        <f>SUM(C28:C32)</f>
        <v>44640.5</v>
      </c>
      <c r="D33" s="119">
        <f>SUM(D28:D32)</f>
        <v>48245.2</v>
      </c>
      <c r="E33" s="119">
        <f>SUM(E28:E32)</f>
        <v>54437.100000000006</v>
      </c>
      <c r="F33" s="119">
        <f>SUM(F28:F32)</f>
        <v>58698.8</v>
      </c>
      <c r="G33" s="119">
        <f>SUM(G28:G32)</f>
        <v>62331.3</v>
      </c>
    </row>
    <row r="34" spans="2:8" x14ac:dyDescent="0.45">
      <c r="B34" s="109"/>
      <c r="C34" s="134"/>
      <c r="D34" s="134"/>
      <c r="E34" s="135"/>
      <c r="F34" s="135"/>
      <c r="G34" s="135"/>
    </row>
    <row r="35" spans="2:8" ht="18.75" customHeight="1" x14ac:dyDescent="0.45">
      <c r="B35" s="110" t="s">
        <v>187</v>
      </c>
      <c r="C35" s="136"/>
      <c r="D35" s="136"/>
      <c r="E35" s="137"/>
      <c r="F35" s="137"/>
      <c r="G35" s="137"/>
    </row>
    <row r="36" spans="2:8" ht="18.75" customHeight="1" x14ac:dyDescent="0.45">
      <c r="B36" s="23" t="s">
        <v>188</v>
      </c>
      <c r="C36" s="113">
        <v>41.1</v>
      </c>
      <c r="D36" s="113">
        <v>9.4</v>
      </c>
      <c r="E36" s="113">
        <v>0</v>
      </c>
      <c r="F36" s="113">
        <v>0</v>
      </c>
      <c r="G36" s="113">
        <v>0</v>
      </c>
      <c r="H36" s="116" t="s">
        <v>176</v>
      </c>
    </row>
    <row r="37" spans="2:8" ht="18.75" customHeight="1" x14ac:dyDescent="0.45">
      <c r="B37" s="23" t="s">
        <v>189</v>
      </c>
      <c r="C37" s="113">
        <v>0</v>
      </c>
      <c r="D37" s="113">
        <v>2492.6999999999998</v>
      </c>
      <c r="E37" s="113">
        <v>3116.4</v>
      </c>
      <c r="F37" s="113">
        <v>3140.2</v>
      </c>
      <c r="G37" s="113">
        <v>3161.8</v>
      </c>
      <c r="H37" s="116" t="s">
        <v>176</v>
      </c>
    </row>
    <row r="38" spans="2:8" ht="18.75" customHeight="1" x14ac:dyDescent="0.45">
      <c r="B38" s="23" t="s">
        <v>190</v>
      </c>
      <c r="C38" s="113">
        <v>7287.1</v>
      </c>
      <c r="D38" s="113">
        <v>7494.1</v>
      </c>
      <c r="E38" s="113">
        <v>7991.6</v>
      </c>
      <c r="F38" s="113">
        <v>9846.4</v>
      </c>
      <c r="G38" s="113">
        <v>12403.7</v>
      </c>
      <c r="H38" s="116" t="s">
        <v>149</v>
      </c>
    </row>
    <row r="39" spans="2:8" ht="18.75" customHeight="1" x14ac:dyDescent="0.45">
      <c r="B39" s="23" t="s">
        <v>191</v>
      </c>
      <c r="C39" s="113">
        <v>4095.7</v>
      </c>
      <c r="D39" s="113">
        <v>2164.6999999999998</v>
      </c>
      <c r="E39" s="113">
        <v>2021.5</v>
      </c>
      <c r="F39" s="113">
        <v>1065.9000000000001</v>
      </c>
      <c r="G39" s="113">
        <v>1411.4</v>
      </c>
      <c r="H39" s="116" t="s">
        <v>149</v>
      </c>
    </row>
    <row r="40" spans="2:8" ht="18.75" customHeight="1" x14ac:dyDescent="0.45">
      <c r="B40" s="23" t="s">
        <v>184</v>
      </c>
      <c r="C40" s="113">
        <v>2130.6</v>
      </c>
      <c r="D40" s="113">
        <v>506.4</v>
      </c>
      <c r="E40" s="113">
        <v>538</v>
      </c>
      <c r="F40" s="113">
        <v>874.6</v>
      </c>
      <c r="G40" s="113">
        <v>1572.6</v>
      </c>
      <c r="H40" s="116" t="s">
        <v>149</v>
      </c>
    </row>
    <row r="41" spans="2:8" ht="18.75" customHeight="1" x14ac:dyDescent="0.45">
      <c r="B41" s="118" t="s">
        <v>192</v>
      </c>
      <c r="C41" s="119">
        <f>SUM(C36:C40)</f>
        <v>13554.500000000002</v>
      </c>
      <c r="D41" s="119">
        <f>SUM(D36:D40)</f>
        <v>12667.300000000001</v>
      </c>
      <c r="E41" s="119">
        <f>SUM(E36:E40)</f>
        <v>13667.5</v>
      </c>
      <c r="F41" s="119">
        <f>SUM(F36:F40)</f>
        <v>14927.099999999999</v>
      </c>
      <c r="G41" s="119">
        <f>SUM(G36:G40)</f>
        <v>18549.5</v>
      </c>
    </row>
    <row r="42" spans="2:8" ht="18.75" customHeight="1" thickBot="1" x14ac:dyDescent="0.5">
      <c r="B42" s="131" t="s">
        <v>193</v>
      </c>
      <c r="C42" s="132">
        <f>C33+C41</f>
        <v>58195</v>
      </c>
      <c r="D42" s="132">
        <f>D33+D41</f>
        <v>60912.5</v>
      </c>
      <c r="E42" s="132">
        <f>E33+E41</f>
        <v>68104.600000000006</v>
      </c>
      <c r="F42" s="132">
        <f>F33+F41</f>
        <v>73625.899999999994</v>
      </c>
      <c r="G42" s="132">
        <f>G33+G41</f>
        <v>80880.800000000003</v>
      </c>
    </row>
    <row r="43" spans="2:8" x14ac:dyDescent="0.45">
      <c r="C43" s="138"/>
      <c r="D43" s="138"/>
      <c r="E43" s="138"/>
      <c r="F43" s="138"/>
      <c r="G43" s="138"/>
    </row>
    <row r="45" spans="2:8" x14ac:dyDescent="0.45">
      <c r="C45" s="127"/>
      <c r="D45" s="127"/>
      <c r="E45" s="127"/>
      <c r="F45" s="127"/>
      <c r="G45" s="127"/>
    </row>
  </sheetData>
  <sheetProtection algorithmName="SHA-512" hashValue="OdySNhCrp104lbw5AG0XSHlx1jC6etmKOmhxkQCmS1KFaxW04r7X4S0T/WxibJFXb5Q9Un42e1vvhu1HYFIi7Q==" saltValue="4KSvqbndJjxeXJ38Q6gmaA==" spinCount="100000" sheet="1" objects="1" scenarios="1"/>
  <mergeCells count="1">
    <mergeCell ref="A1:XF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1.Input --&gt;</vt:lpstr>
      <vt:lpstr>P&amp;L assumptions</vt:lpstr>
      <vt:lpstr>BS assumptions</vt:lpstr>
      <vt:lpstr>2.Output--&gt;</vt:lpstr>
      <vt:lpstr>P&amp;L</vt:lpstr>
      <vt:lpstr>BS</vt:lpstr>
      <vt:lpstr>Cash Flow</vt:lpstr>
      <vt:lpstr>DCF valuation</vt:lpstr>
      <vt:lpstr>WACC</vt:lpstr>
      <vt:lpstr>3.Sources --&gt;</vt:lpstr>
      <vt:lpstr>P&amp;L Source</vt:lpstr>
      <vt:lpstr>BS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Nestle India - DCF Valuation</dc:title>
  <dc:creator>Neev Hiranandani</dc:creator>
  <cp:lastModifiedBy>Neev Umesh Hiranandani</cp:lastModifiedBy>
  <dcterms:created xsi:type="dcterms:W3CDTF">2019-08-20T10:00:26Z</dcterms:created>
  <dcterms:modified xsi:type="dcterms:W3CDTF">2026-08-23T07:48:33Z</dcterms:modified>
</cp:coreProperties>
</file>