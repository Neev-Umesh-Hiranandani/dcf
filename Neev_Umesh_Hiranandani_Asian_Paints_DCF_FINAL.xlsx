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iran\Downloads\"/>
    </mc:Choice>
  </mc:AlternateContent>
  <xr:revisionPtr revIDLastSave="0" documentId="13_ncr:1_{B28DB5A2-D52E-4207-AF22-BC336F37B622}" xr6:coauthVersionLast="47" xr6:coauthVersionMax="47" xr10:uidLastSave="{00000000-0000-0000-0000-000000000000}"/>
  <bookViews>
    <workbookView xWindow="-110" yWindow="-110" windowWidth="19420" windowHeight="10300" tabRatio="851" activeTab="5" xr2:uid="{00000000-000D-0000-FFFF-FFFF00000000}"/>
  </bookViews>
  <sheets>
    <sheet name="COVER" sheetId="1" r:id="rId1"/>
    <sheet name="Source Tie-Out" sheetId="2" r:id="rId2"/>
    <sheet name="Historical P&amp;L" sheetId="3" r:id="rId3"/>
    <sheet name="Historical BS" sheetId="4" r:id="rId4"/>
    <sheet name="Historical Cash Flow" sheetId="5" r:id="rId5"/>
    <sheet name="Forecast P&amp;L" sheetId="6" r:id="rId6"/>
    <sheet name="Forecast BS" sheetId="7" r:id="rId7"/>
    <sheet name="Forecast FCF" sheetId="8" r:id="rId8"/>
    <sheet name="WACC" sheetId="9" r:id="rId9"/>
    <sheet name="DCF" sheetId="10" r:id="rId10"/>
    <sheet name="Sensitivity" sheetId="11" r:id="rId11"/>
    <sheet name="Summary" sheetId="12" r:id="rId12"/>
    <sheet name="Decision Log" sheetId="13" r:id="rId13"/>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2" l="1"/>
  <c r="H48" i="12"/>
  <c r="G48" i="12"/>
  <c r="F48" i="12"/>
  <c r="E48" i="12"/>
  <c r="D48" i="12"/>
  <c r="C48" i="12"/>
  <c r="H47" i="12"/>
  <c r="G47" i="12"/>
  <c r="F47" i="12"/>
  <c r="E47" i="12"/>
  <c r="D47" i="12"/>
  <c r="C47" i="12"/>
  <c r="H46" i="12"/>
  <c r="G46" i="12"/>
  <c r="F46" i="12"/>
  <c r="E46" i="12"/>
  <c r="D46" i="12"/>
  <c r="C46" i="12"/>
  <c r="H45" i="12"/>
  <c r="G45" i="12"/>
  <c r="F45" i="12"/>
  <c r="E45" i="12"/>
  <c r="D45" i="12"/>
  <c r="C45" i="12"/>
  <c r="H44" i="12"/>
  <c r="G44" i="12"/>
  <c r="F44" i="12"/>
  <c r="E44" i="12"/>
  <c r="D44" i="12"/>
  <c r="C44" i="12"/>
  <c r="H43" i="12"/>
  <c r="G43" i="12"/>
  <c r="F43" i="12"/>
  <c r="E43" i="12"/>
  <c r="D43" i="12"/>
  <c r="C43" i="12"/>
  <c r="H42" i="12"/>
  <c r="G42" i="12"/>
  <c r="F42" i="12"/>
  <c r="E42" i="12"/>
  <c r="D42" i="12"/>
  <c r="C42" i="12"/>
  <c r="A42" i="12"/>
  <c r="B41" i="12"/>
  <c r="A41" i="12"/>
  <c r="F28" i="12"/>
  <c r="E28" i="12"/>
  <c r="D28" i="12"/>
  <c r="C28" i="12"/>
  <c r="B28" i="12"/>
  <c r="B23" i="12"/>
  <c r="B21" i="12"/>
  <c r="H20" i="12"/>
  <c r="H17" i="12"/>
  <c r="H15" i="12"/>
  <c r="H12" i="12"/>
  <c r="L6" i="11"/>
  <c r="B17" i="10" s="1"/>
  <c r="B48" i="10" s="1"/>
  <c r="B36" i="10"/>
  <c r="B35" i="10"/>
  <c r="B29" i="10"/>
  <c r="B41" i="10" s="1"/>
  <c r="B28" i="10"/>
  <c r="B40" i="10" s="1"/>
  <c r="B27" i="10"/>
  <c r="B39" i="10" s="1"/>
  <c r="B26" i="10"/>
  <c r="B38" i="10" s="1"/>
  <c r="B25" i="10"/>
  <c r="B15" i="12" s="1"/>
  <c r="B24" i="10"/>
  <c r="B23" i="10"/>
  <c r="B13" i="12" s="1"/>
  <c r="M91" i="9"/>
  <c r="K91" i="9"/>
  <c r="I91" i="9"/>
  <c r="G91" i="9"/>
  <c r="M90" i="9"/>
  <c r="K90" i="9"/>
  <c r="I90" i="9"/>
  <c r="G90" i="9"/>
  <c r="M89" i="9"/>
  <c r="K89" i="9"/>
  <c r="I89" i="9"/>
  <c r="G89" i="9"/>
  <c r="M88" i="9"/>
  <c r="K88" i="9"/>
  <c r="I88" i="9"/>
  <c r="G88" i="9"/>
  <c r="M87" i="9"/>
  <c r="K87" i="9"/>
  <c r="I87" i="9"/>
  <c r="G87" i="9"/>
  <c r="M86" i="9"/>
  <c r="K86" i="9"/>
  <c r="I86" i="9"/>
  <c r="G86" i="9"/>
  <c r="M85" i="9"/>
  <c r="K85" i="9"/>
  <c r="I85" i="9"/>
  <c r="G85" i="9"/>
  <c r="M84" i="9"/>
  <c r="K84" i="9"/>
  <c r="I84" i="9"/>
  <c r="G84" i="9"/>
  <c r="M83" i="9"/>
  <c r="K83" i="9"/>
  <c r="I83" i="9"/>
  <c r="G83" i="9"/>
  <c r="M82" i="9"/>
  <c r="K82" i="9"/>
  <c r="I82" i="9"/>
  <c r="G82" i="9"/>
  <c r="M81" i="9"/>
  <c r="K81" i="9"/>
  <c r="I81" i="9"/>
  <c r="G81" i="9"/>
  <c r="M80" i="9"/>
  <c r="K80" i="9"/>
  <c r="I80" i="9"/>
  <c r="G80" i="9"/>
  <c r="M79" i="9"/>
  <c r="K79" i="9"/>
  <c r="I79" i="9"/>
  <c r="G79" i="9"/>
  <c r="M78" i="9"/>
  <c r="K78" i="9"/>
  <c r="I78" i="9"/>
  <c r="G78" i="9"/>
  <c r="M77" i="9"/>
  <c r="K77" i="9"/>
  <c r="I77" i="9"/>
  <c r="G77" i="9"/>
  <c r="M76" i="9"/>
  <c r="K76" i="9"/>
  <c r="I76" i="9"/>
  <c r="G76" i="9"/>
  <c r="M75" i="9"/>
  <c r="K75" i="9"/>
  <c r="I75" i="9"/>
  <c r="G75" i="9"/>
  <c r="M74" i="9"/>
  <c r="K74" i="9"/>
  <c r="I74" i="9"/>
  <c r="G74" i="9"/>
  <c r="M73" i="9"/>
  <c r="K73" i="9"/>
  <c r="I73" i="9"/>
  <c r="G73" i="9"/>
  <c r="M72" i="9"/>
  <c r="K72" i="9"/>
  <c r="I72" i="9"/>
  <c r="G72" i="9"/>
  <c r="M71" i="9"/>
  <c r="K71" i="9"/>
  <c r="I71" i="9"/>
  <c r="G71" i="9"/>
  <c r="M70" i="9"/>
  <c r="K70" i="9"/>
  <c r="I70" i="9"/>
  <c r="G70" i="9"/>
  <c r="M69" i="9"/>
  <c r="K69" i="9"/>
  <c r="I69" i="9"/>
  <c r="G69" i="9"/>
  <c r="M68" i="9"/>
  <c r="K68" i="9"/>
  <c r="I68" i="9"/>
  <c r="G68" i="9"/>
  <c r="M67" i="9"/>
  <c r="K67" i="9"/>
  <c r="I67" i="9"/>
  <c r="G67" i="9"/>
  <c r="M66" i="9"/>
  <c r="K66" i="9"/>
  <c r="I66" i="9"/>
  <c r="G66" i="9"/>
  <c r="M65" i="9"/>
  <c r="K65" i="9"/>
  <c r="I65" i="9"/>
  <c r="G65" i="9"/>
  <c r="M64" i="9"/>
  <c r="K64" i="9"/>
  <c r="I64" i="9"/>
  <c r="G64" i="9"/>
  <c r="M63" i="9"/>
  <c r="K63" i="9"/>
  <c r="I63" i="9"/>
  <c r="G63" i="9"/>
  <c r="M62" i="9"/>
  <c r="K62" i="9"/>
  <c r="I62" i="9"/>
  <c r="G62" i="9"/>
  <c r="M61" i="9"/>
  <c r="K61" i="9"/>
  <c r="I61" i="9"/>
  <c r="G61" i="9"/>
  <c r="M60" i="9"/>
  <c r="K60" i="9"/>
  <c r="I60" i="9"/>
  <c r="G60" i="9"/>
  <c r="M59" i="9"/>
  <c r="K59" i="9"/>
  <c r="I59" i="9"/>
  <c r="G59" i="9"/>
  <c r="M58" i="9"/>
  <c r="K58" i="9"/>
  <c r="I58" i="9"/>
  <c r="G58" i="9"/>
  <c r="M57" i="9"/>
  <c r="K57" i="9"/>
  <c r="I57" i="9"/>
  <c r="G57" i="9"/>
  <c r="M56" i="9"/>
  <c r="K56" i="9"/>
  <c r="I56" i="9"/>
  <c r="G56" i="9"/>
  <c r="M55" i="9"/>
  <c r="K55" i="9"/>
  <c r="I55" i="9"/>
  <c r="G55" i="9"/>
  <c r="M54" i="9"/>
  <c r="K54" i="9"/>
  <c r="I54" i="9"/>
  <c r="G54" i="9"/>
  <c r="M53" i="9"/>
  <c r="K53" i="9"/>
  <c r="I53" i="9"/>
  <c r="G53" i="9"/>
  <c r="M52" i="9"/>
  <c r="K52" i="9"/>
  <c r="I52" i="9"/>
  <c r="G52" i="9"/>
  <c r="M51" i="9"/>
  <c r="K51" i="9"/>
  <c r="I51" i="9"/>
  <c r="G51" i="9"/>
  <c r="M50" i="9"/>
  <c r="K50" i="9"/>
  <c r="I50" i="9"/>
  <c r="G50" i="9"/>
  <c r="M49" i="9"/>
  <c r="K49" i="9"/>
  <c r="I49" i="9"/>
  <c r="G49" i="9"/>
  <c r="M48" i="9"/>
  <c r="K48" i="9"/>
  <c r="I48" i="9"/>
  <c r="G48" i="9"/>
  <c r="M47" i="9"/>
  <c r="K47" i="9"/>
  <c r="I47" i="9"/>
  <c r="G47" i="9"/>
  <c r="M46" i="9"/>
  <c r="K46" i="9"/>
  <c r="I46" i="9"/>
  <c r="G46" i="9"/>
  <c r="M45" i="9"/>
  <c r="K45" i="9"/>
  <c r="I45" i="9"/>
  <c r="G45" i="9"/>
  <c r="M44" i="9"/>
  <c r="K44" i="9"/>
  <c r="I44" i="9"/>
  <c r="G44" i="9"/>
  <c r="M43" i="9"/>
  <c r="K43" i="9"/>
  <c r="I43" i="9"/>
  <c r="G43" i="9"/>
  <c r="M42" i="9"/>
  <c r="K42" i="9"/>
  <c r="I42" i="9"/>
  <c r="G42" i="9"/>
  <c r="M41" i="9"/>
  <c r="K41" i="9"/>
  <c r="I41" i="9"/>
  <c r="G41" i="9"/>
  <c r="M40" i="9"/>
  <c r="K40" i="9"/>
  <c r="I40" i="9"/>
  <c r="G40" i="9"/>
  <c r="M39" i="9"/>
  <c r="K39" i="9"/>
  <c r="I39" i="9"/>
  <c r="G39" i="9"/>
  <c r="M38" i="9"/>
  <c r="K38" i="9"/>
  <c r="I38" i="9"/>
  <c r="G38" i="9"/>
  <c r="M37" i="9"/>
  <c r="K37" i="9"/>
  <c r="I37" i="9"/>
  <c r="G37" i="9"/>
  <c r="M36" i="9"/>
  <c r="K36" i="9"/>
  <c r="I36" i="9"/>
  <c r="G36" i="9"/>
  <c r="M35" i="9"/>
  <c r="K35" i="9"/>
  <c r="I35" i="9"/>
  <c r="G35" i="9"/>
  <c r="M34" i="9"/>
  <c r="K34" i="9"/>
  <c r="I34" i="9"/>
  <c r="G34" i="9"/>
  <c r="M33" i="9"/>
  <c r="K33" i="9"/>
  <c r="I33" i="9"/>
  <c r="G33" i="9"/>
  <c r="B33" i="9"/>
  <c r="M32" i="9"/>
  <c r="K32" i="9"/>
  <c r="I32" i="9"/>
  <c r="G32" i="9"/>
  <c r="M31" i="9"/>
  <c r="K31" i="9"/>
  <c r="I31" i="9"/>
  <c r="G31" i="9"/>
  <c r="B31" i="9"/>
  <c r="M30" i="9"/>
  <c r="K30" i="9"/>
  <c r="I30" i="9"/>
  <c r="G30" i="9"/>
  <c r="M29" i="9"/>
  <c r="K29" i="9"/>
  <c r="I29" i="9"/>
  <c r="G29" i="9"/>
  <c r="M28" i="9"/>
  <c r="K28" i="9"/>
  <c r="I28" i="9"/>
  <c r="G28" i="9"/>
  <c r="M27" i="9"/>
  <c r="K27" i="9"/>
  <c r="I27" i="9"/>
  <c r="G27" i="9"/>
  <c r="M26" i="9"/>
  <c r="K26" i="9"/>
  <c r="I26" i="9"/>
  <c r="G26" i="9"/>
  <c r="M25" i="9"/>
  <c r="K25" i="9"/>
  <c r="I25" i="9"/>
  <c r="G25" i="9"/>
  <c r="M24" i="9"/>
  <c r="K24" i="9"/>
  <c r="I24" i="9"/>
  <c r="G24" i="9"/>
  <c r="M23" i="9"/>
  <c r="K23" i="9"/>
  <c r="I23" i="9"/>
  <c r="G23" i="9"/>
  <c r="M22" i="9"/>
  <c r="K22" i="9"/>
  <c r="I22" i="9"/>
  <c r="G22" i="9"/>
  <c r="M21" i="9"/>
  <c r="K21" i="9"/>
  <c r="I21" i="9"/>
  <c r="G21" i="9"/>
  <c r="M20" i="9"/>
  <c r="K20" i="9"/>
  <c r="I20" i="9"/>
  <c r="G20" i="9"/>
  <c r="M19" i="9"/>
  <c r="K19" i="9"/>
  <c r="I19" i="9"/>
  <c r="G19" i="9"/>
  <c r="M18" i="9"/>
  <c r="K18" i="9"/>
  <c r="I18" i="9"/>
  <c r="G18" i="9"/>
  <c r="M17" i="9"/>
  <c r="K17" i="9"/>
  <c r="I17" i="9"/>
  <c r="G17" i="9"/>
  <c r="M16" i="9"/>
  <c r="K16" i="9"/>
  <c r="I16" i="9"/>
  <c r="G16" i="9"/>
  <c r="B16" i="9"/>
  <c r="H19" i="12" s="1"/>
  <c r="M15" i="9"/>
  <c r="K15" i="9"/>
  <c r="I15" i="9"/>
  <c r="G15" i="9"/>
  <c r="M14" i="9"/>
  <c r="K14" i="9"/>
  <c r="I14" i="9"/>
  <c r="G14" i="9"/>
  <c r="M13" i="9"/>
  <c r="K13" i="9"/>
  <c r="I13" i="9"/>
  <c r="G13" i="9"/>
  <c r="B13" i="9"/>
  <c r="M12" i="9"/>
  <c r="K12" i="9"/>
  <c r="I12" i="9"/>
  <c r="G12" i="9"/>
  <c r="M11" i="9"/>
  <c r="K11" i="9"/>
  <c r="I11" i="9"/>
  <c r="G11" i="9"/>
  <c r="M10" i="9"/>
  <c r="K10" i="9"/>
  <c r="I10" i="9"/>
  <c r="G10" i="9"/>
  <c r="M9" i="9"/>
  <c r="K9" i="9"/>
  <c r="I9" i="9"/>
  <c r="G9" i="9"/>
  <c r="M8" i="9"/>
  <c r="K8" i="9"/>
  <c r="I8" i="9"/>
  <c r="G8" i="9"/>
  <c r="H9" i="8"/>
  <c r="G9" i="8"/>
  <c r="F9" i="8"/>
  <c r="E9" i="8"/>
  <c r="D9" i="8"/>
  <c r="C9" i="8"/>
  <c r="B9" i="8"/>
  <c r="H13" i="7"/>
  <c r="G13" i="7"/>
  <c r="F13" i="7"/>
  <c r="E13" i="7"/>
  <c r="D13" i="7"/>
  <c r="C13" i="7"/>
  <c r="B13" i="7"/>
  <c r="H11" i="7"/>
  <c r="G11" i="7"/>
  <c r="F11" i="7"/>
  <c r="E11" i="7"/>
  <c r="D11" i="7"/>
  <c r="C11" i="7"/>
  <c r="B11" i="7"/>
  <c r="H8" i="7"/>
  <c r="G8" i="7"/>
  <c r="F8" i="7"/>
  <c r="E8" i="7"/>
  <c r="D8" i="7"/>
  <c r="C8" i="7"/>
  <c r="B8" i="7"/>
  <c r="H5" i="7"/>
  <c r="G5" i="7"/>
  <c r="F5" i="7"/>
  <c r="E5" i="7"/>
  <c r="D5" i="7"/>
  <c r="C5" i="7"/>
  <c r="B5" i="7"/>
  <c r="A87" i="6"/>
  <c r="A84" i="6"/>
  <c r="A82" i="6"/>
  <c r="A81" i="6"/>
  <c r="A79" i="6"/>
  <c r="A78" i="6"/>
  <c r="H68" i="6"/>
  <c r="G68" i="6"/>
  <c r="F68" i="6"/>
  <c r="E68" i="6"/>
  <c r="D68" i="6"/>
  <c r="C68" i="6"/>
  <c r="B68" i="6"/>
  <c r="B56" i="6"/>
  <c r="J55" i="6"/>
  <c r="H55" i="6"/>
  <c r="G55" i="6"/>
  <c r="F55" i="6"/>
  <c r="E55" i="6"/>
  <c r="D55" i="6"/>
  <c r="C55" i="6"/>
  <c r="J54" i="6"/>
  <c r="H54" i="6"/>
  <c r="G54" i="6"/>
  <c r="F54" i="6"/>
  <c r="E54" i="6"/>
  <c r="D54" i="6"/>
  <c r="C54" i="6"/>
  <c r="J53" i="6"/>
  <c r="H53" i="6"/>
  <c r="G53" i="6"/>
  <c r="F53" i="6"/>
  <c r="E53" i="6"/>
  <c r="D53" i="6"/>
  <c r="C53" i="6"/>
  <c r="H46" i="6"/>
  <c r="G46" i="6"/>
  <c r="F46" i="6"/>
  <c r="E46" i="6"/>
  <c r="D46" i="6"/>
  <c r="C46" i="6"/>
  <c r="B46" i="6"/>
  <c r="H39" i="6"/>
  <c r="H8" i="8" s="1"/>
  <c r="G39" i="6"/>
  <c r="G8" i="8" s="1"/>
  <c r="F39" i="6"/>
  <c r="F8" i="8" s="1"/>
  <c r="E39" i="6"/>
  <c r="E8" i="8" s="1"/>
  <c r="D39" i="6"/>
  <c r="C39" i="6"/>
  <c r="B39" i="6"/>
  <c r="H32" i="6"/>
  <c r="H82" i="6" s="1"/>
  <c r="G32" i="6"/>
  <c r="F32" i="6"/>
  <c r="E32" i="6"/>
  <c r="D32" i="6"/>
  <c r="D82" i="6" s="1"/>
  <c r="C32" i="6"/>
  <c r="B32" i="6"/>
  <c r="B82" i="6" s="1"/>
  <c r="H25" i="6"/>
  <c r="H81" i="6" s="1"/>
  <c r="G25" i="6"/>
  <c r="G81" i="6" s="1"/>
  <c r="F25" i="6"/>
  <c r="E25" i="6"/>
  <c r="D25" i="6"/>
  <c r="D81" i="6" s="1"/>
  <c r="C25" i="6"/>
  <c r="C81" i="6" s="1"/>
  <c r="B25" i="6"/>
  <c r="H18" i="6"/>
  <c r="H79" i="6" s="1"/>
  <c r="G18" i="6"/>
  <c r="F18" i="6"/>
  <c r="E18" i="6"/>
  <c r="E79" i="6" s="1"/>
  <c r="D18" i="6"/>
  <c r="C18" i="6"/>
  <c r="C79" i="6" s="1"/>
  <c r="B18" i="6"/>
  <c r="B79" i="6" s="1"/>
  <c r="N15" i="6"/>
  <c r="M15" i="6"/>
  <c r="L15" i="6"/>
  <c r="L14" i="6" s="1"/>
  <c r="K15" i="6"/>
  <c r="K14" i="6" s="1"/>
  <c r="J15" i="6"/>
  <c r="J16" i="6" s="1"/>
  <c r="I23" i="5"/>
  <c r="I25" i="5" s="1"/>
  <c r="H23" i="5"/>
  <c r="H25" i="5" s="1"/>
  <c r="G23" i="5"/>
  <c r="G25" i="5" s="1"/>
  <c r="F23" i="5"/>
  <c r="F25" i="5" s="1"/>
  <c r="E23" i="5"/>
  <c r="E25" i="5" s="1"/>
  <c r="D23" i="5"/>
  <c r="D25" i="5" s="1"/>
  <c r="C23" i="5"/>
  <c r="C25" i="5" s="1"/>
  <c r="I22" i="5"/>
  <c r="H8" i="2" s="1"/>
  <c r="H22" i="5"/>
  <c r="G8" i="2" s="1"/>
  <c r="G22" i="5"/>
  <c r="F22" i="5"/>
  <c r="F24" i="5" s="1"/>
  <c r="E9" i="2" s="1"/>
  <c r="E22" i="5"/>
  <c r="E24" i="5" s="1"/>
  <c r="D9" i="2" s="1"/>
  <c r="D22" i="5"/>
  <c r="C22" i="5"/>
  <c r="I27" i="4"/>
  <c r="H27" i="4"/>
  <c r="G27" i="4"/>
  <c r="F27" i="4"/>
  <c r="E27" i="4"/>
  <c r="D27" i="4"/>
  <c r="C27" i="4"/>
  <c r="I26" i="4"/>
  <c r="H26" i="4"/>
  <c r="G26" i="4"/>
  <c r="F26" i="4"/>
  <c r="E26" i="4"/>
  <c r="D26" i="4"/>
  <c r="C26" i="4"/>
  <c r="H14" i="3"/>
  <c r="G14" i="3"/>
  <c r="F14" i="3"/>
  <c r="E14" i="3"/>
  <c r="D14" i="3"/>
  <c r="C14" i="3"/>
  <c r="B14" i="3"/>
  <c r="H6" i="3"/>
  <c r="H8" i="3" s="1"/>
  <c r="G6" i="3"/>
  <c r="G8" i="3" s="1"/>
  <c r="G11" i="6" s="1"/>
  <c r="F6" i="3"/>
  <c r="F8" i="3" s="1"/>
  <c r="F11" i="6" s="1"/>
  <c r="F78" i="6" s="1"/>
  <c r="E6" i="3"/>
  <c r="E8" i="3" s="1"/>
  <c r="D6" i="3"/>
  <c r="D8" i="3" s="1"/>
  <c r="C6" i="3"/>
  <c r="C8" i="3" s="1"/>
  <c r="B6" i="3"/>
  <c r="B8" i="3" s="1"/>
  <c r="B11" i="6" s="1"/>
  <c r="B78" i="6" s="1"/>
  <c r="H7" i="2"/>
  <c r="G7" i="2"/>
  <c r="F7" i="2"/>
  <c r="E7" i="2"/>
  <c r="D7" i="2"/>
  <c r="C7" i="2"/>
  <c r="B7" i="2"/>
  <c r="H5" i="2"/>
  <c r="G5" i="2"/>
  <c r="F5" i="2"/>
  <c r="E5" i="2"/>
  <c r="D5" i="2"/>
  <c r="C5" i="2"/>
  <c r="B5" i="2"/>
  <c r="H4" i="2"/>
  <c r="G4" i="2"/>
  <c r="F4" i="2"/>
  <c r="E4" i="2"/>
  <c r="D4" i="2"/>
  <c r="C4" i="2"/>
  <c r="B4" i="2"/>
  <c r="B7" i="9" l="1"/>
  <c r="N12" i="6"/>
  <c r="F30" i="12" s="1"/>
  <c r="B37" i="10"/>
  <c r="B80" i="6"/>
  <c r="F33" i="6"/>
  <c r="F9" i="7"/>
  <c r="E14" i="7"/>
  <c r="B16" i="12"/>
  <c r="G9" i="7"/>
  <c r="E6" i="2"/>
  <c r="B17" i="12"/>
  <c r="F82" i="6"/>
  <c r="J56" i="6"/>
  <c r="G6" i="2"/>
  <c r="G15" i="3"/>
  <c r="G17" i="3" s="1"/>
  <c r="G22" i="3" s="1"/>
  <c r="G24" i="3" s="1"/>
  <c r="F26" i="6"/>
  <c r="C12" i="7"/>
  <c r="D12" i="7"/>
  <c r="F40" i="6"/>
  <c r="E12" i="7"/>
  <c r="B47" i="6"/>
  <c r="F12" i="7"/>
  <c r="G12" i="7"/>
  <c r="C6" i="2"/>
  <c r="F56" i="6"/>
  <c r="F57" i="6" s="1"/>
  <c r="F58" i="6" s="1"/>
  <c r="D6" i="2"/>
  <c r="G56" i="6"/>
  <c r="G57" i="6" s="1"/>
  <c r="G58" i="6" s="1"/>
  <c r="B18" i="12"/>
  <c r="H56" i="6"/>
  <c r="H57" i="6" s="1"/>
  <c r="B19" i="12"/>
  <c r="K12" i="6"/>
  <c r="C30" i="12" s="1"/>
  <c r="B57" i="6"/>
  <c r="B58" i="6" s="1"/>
  <c r="L12" i="6"/>
  <c r="D30" i="12" s="1"/>
  <c r="J14" i="6"/>
  <c r="J12" i="6" s="1"/>
  <c r="B30" i="12" s="1"/>
  <c r="B15" i="3"/>
  <c r="B17" i="3" s="1"/>
  <c r="B22" i="3" s="1"/>
  <c r="B24" i="3" s="1"/>
  <c r="B9" i="7"/>
  <c r="B12" i="7"/>
  <c r="N14" i="6"/>
  <c r="C9" i="7"/>
  <c r="D9" i="7"/>
  <c r="C14" i="7"/>
  <c r="D14" i="7"/>
  <c r="F14" i="7"/>
  <c r="G14" i="7"/>
  <c r="H9" i="7"/>
  <c r="F6" i="2"/>
  <c r="Q6" i="9"/>
  <c r="K16" i="6"/>
  <c r="H6" i="2"/>
  <c r="H24" i="5"/>
  <c r="G9" i="2" s="1"/>
  <c r="L16" i="6"/>
  <c r="B33" i="6"/>
  <c r="B6" i="9"/>
  <c r="B20" i="9" s="1"/>
  <c r="B18" i="9"/>
  <c r="I24" i="5"/>
  <c r="H9" i="2" s="1"/>
  <c r="D56" i="6"/>
  <c r="D57" i="6" s="1"/>
  <c r="E56" i="6"/>
  <c r="E57" i="6" s="1"/>
  <c r="E58" i="6" s="1"/>
  <c r="B42" i="10"/>
  <c r="C24" i="5"/>
  <c r="B9" i="2" s="1"/>
  <c r="B8" i="2"/>
  <c r="G40" i="6"/>
  <c r="G26" i="6"/>
  <c r="G12" i="6"/>
  <c r="G78" i="6"/>
  <c r="F8" i="2"/>
  <c r="G24" i="5"/>
  <c r="F9" i="2" s="1"/>
  <c r="H12" i="7"/>
  <c r="H14" i="7"/>
  <c r="D11" i="6"/>
  <c r="D40" i="6" s="1"/>
  <c r="D15" i="3"/>
  <c r="D17" i="3" s="1"/>
  <c r="D22" i="3" s="1"/>
  <c r="G6" i="7"/>
  <c r="M16" i="6"/>
  <c r="M14" i="6"/>
  <c r="M12" i="6"/>
  <c r="C8" i="2"/>
  <c r="D24" i="5"/>
  <c r="C9" i="2" s="1"/>
  <c r="C11" i="6"/>
  <c r="C19" i="6" s="1"/>
  <c r="C15" i="3"/>
  <c r="C17" i="3" s="1"/>
  <c r="C22" i="3" s="1"/>
  <c r="C82" i="6"/>
  <c r="E11" i="6"/>
  <c r="E47" i="6" s="1"/>
  <c r="E15" i="3"/>
  <c r="E17" i="3" s="1"/>
  <c r="E22" i="3" s="1"/>
  <c r="Q4" i="9"/>
  <c r="Q5" i="9"/>
  <c r="B26" i="6"/>
  <c r="B81" i="6"/>
  <c r="B83" i="6" s="1"/>
  <c r="E82" i="6"/>
  <c r="B6" i="2"/>
  <c r="B8" i="8"/>
  <c r="B40" i="6"/>
  <c r="D8" i="2"/>
  <c r="C8" i="8"/>
  <c r="H18" i="12"/>
  <c r="E8" i="2"/>
  <c r="N16" i="6"/>
  <c r="D8" i="8"/>
  <c r="G33" i="6"/>
  <c r="G82" i="6"/>
  <c r="B14" i="7"/>
  <c r="B6" i="7"/>
  <c r="F15" i="3"/>
  <c r="F17" i="3" s="1"/>
  <c r="F22" i="3" s="1"/>
  <c r="F79" i="6"/>
  <c r="F80" i="6" s="1"/>
  <c r="F19" i="6"/>
  <c r="E81" i="6"/>
  <c r="G79" i="6"/>
  <c r="G19" i="6"/>
  <c r="F47" i="6"/>
  <c r="F81" i="6"/>
  <c r="F6" i="7"/>
  <c r="H14" i="12"/>
  <c r="E9" i="7"/>
  <c r="H11" i="6"/>
  <c r="H26" i="6" s="1"/>
  <c r="H15" i="3"/>
  <c r="H17" i="3" s="1"/>
  <c r="H22" i="3" s="1"/>
  <c r="G47" i="6"/>
  <c r="D79" i="6"/>
  <c r="C56" i="6"/>
  <c r="B19" i="6"/>
  <c r="B14" i="12"/>
  <c r="B21" i="9" l="1"/>
  <c r="B23" i="9" s="1"/>
  <c r="D15" i="7"/>
  <c r="D10" i="8" s="1"/>
  <c r="B43" i="10"/>
  <c r="G15" i="7"/>
  <c r="G10" i="8" s="1"/>
  <c r="H15" i="7"/>
  <c r="H10" i="8" s="1"/>
  <c r="J12" i="7"/>
  <c r="N12" i="7" s="1"/>
  <c r="E26" i="6"/>
  <c r="F12" i="6"/>
  <c r="G26" i="3"/>
  <c r="F15" i="7"/>
  <c r="F10" i="8" s="1"/>
  <c r="G69" i="6"/>
  <c r="G70" i="6" s="1"/>
  <c r="G87" i="6" s="1"/>
  <c r="K9" i="7"/>
  <c r="H33" i="6"/>
  <c r="J9" i="7"/>
  <c r="L9" i="7"/>
  <c r="E15" i="7"/>
  <c r="E10" i="8" s="1"/>
  <c r="C15" i="7"/>
  <c r="C10" i="8" s="1"/>
  <c r="M9" i="7"/>
  <c r="H19" i="6"/>
  <c r="B59" i="6"/>
  <c r="B60" i="6" s="1"/>
  <c r="B26" i="3"/>
  <c r="B69" i="6"/>
  <c r="B70" i="6" s="1"/>
  <c r="B87" i="6" s="1"/>
  <c r="C40" i="6"/>
  <c r="N9" i="7"/>
  <c r="D69" i="6"/>
  <c r="D70" i="6" s="1"/>
  <c r="D87" i="6" s="1"/>
  <c r="D26" i="3"/>
  <c r="D24" i="3"/>
  <c r="E59" i="6"/>
  <c r="H69" i="6"/>
  <c r="H70" i="6" s="1"/>
  <c r="H87" i="6" s="1"/>
  <c r="H26" i="3"/>
  <c r="H24" i="3"/>
  <c r="H6" i="7"/>
  <c r="F83" i="6"/>
  <c r="G59" i="6"/>
  <c r="C69" i="6"/>
  <c r="C70" i="6" s="1"/>
  <c r="C87" i="6" s="1"/>
  <c r="C26" i="3"/>
  <c r="C24" i="3"/>
  <c r="G80" i="6"/>
  <c r="G83" i="6"/>
  <c r="F69" i="6"/>
  <c r="F70" i="6" s="1"/>
  <c r="F87" i="6" s="1"/>
  <c r="F26" i="3"/>
  <c r="F24" i="3"/>
  <c r="D19" i="6"/>
  <c r="H78" i="6"/>
  <c r="H12" i="6"/>
  <c r="H47" i="6"/>
  <c r="D49" i="6" s="1"/>
  <c r="J11" i="6"/>
  <c r="J9" i="8" s="1"/>
  <c r="E69" i="6"/>
  <c r="E70" i="6" s="1"/>
  <c r="E87" i="6" s="1"/>
  <c r="E26" i="3"/>
  <c r="E24" i="3"/>
  <c r="E12" i="6"/>
  <c r="E78" i="6"/>
  <c r="E6" i="7"/>
  <c r="H58" i="6"/>
  <c r="D63" i="6" s="1"/>
  <c r="D58" i="6"/>
  <c r="D59" i="6" s="1"/>
  <c r="E19" i="6"/>
  <c r="E33" i="6"/>
  <c r="H40" i="6"/>
  <c r="D42" i="6" s="1"/>
  <c r="D47" i="6"/>
  <c r="D26" i="6"/>
  <c r="D78" i="6"/>
  <c r="D12" i="6"/>
  <c r="D6" i="7"/>
  <c r="C78" i="6"/>
  <c r="C12" i="6"/>
  <c r="C47" i="6"/>
  <c r="C26" i="6"/>
  <c r="C6" i="7"/>
  <c r="E30" i="12"/>
  <c r="C57" i="6"/>
  <c r="D33" i="6"/>
  <c r="F59" i="6"/>
  <c r="E40" i="6"/>
  <c r="C33" i="6"/>
  <c r="L29" i="6" l="1"/>
  <c r="L26" i="6" s="1"/>
  <c r="D51" i="6"/>
  <c r="N22" i="6"/>
  <c r="N19" i="6" s="1"/>
  <c r="K12" i="7"/>
  <c r="L12" i="7"/>
  <c r="M12" i="7"/>
  <c r="D44" i="6"/>
  <c r="J44" i="6" s="1"/>
  <c r="B84" i="6"/>
  <c r="B85" i="6" s="1"/>
  <c r="B86" i="6" s="1"/>
  <c r="B6" i="8"/>
  <c r="J22" i="6"/>
  <c r="J19" i="6" s="1"/>
  <c r="J18" i="6" s="1"/>
  <c r="K29" i="6"/>
  <c r="K26" i="6" s="1"/>
  <c r="M29" i="6"/>
  <c r="M26" i="6" s="1"/>
  <c r="L22" i="6"/>
  <c r="L19" i="6" s="1"/>
  <c r="J29" i="6"/>
  <c r="J26" i="6" s="1"/>
  <c r="J25" i="6" s="1"/>
  <c r="J81" i="6" s="1"/>
  <c r="D43" i="6"/>
  <c r="K43" i="6" s="1"/>
  <c r="N29" i="6"/>
  <c r="N26" i="6" s="1"/>
  <c r="C6" i="11"/>
  <c r="L5" i="11"/>
  <c r="C10" i="11"/>
  <c r="C9" i="11"/>
  <c r="C8" i="11"/>
  <c r="C7" i="11"/>
  <c r="C17" i="11"/>
  <c r="B44" i="12" s="1"/>
  <c r="C16" i="11"/>
  <c r="B43" i="12" s="1"/>
  <c r="C19" i="11"/>
  <c r="B46" i="12" s="1"/>
  <c r="C11" i="11"/>
  <c r="C21" i="11"/>
  <c r="B48" i="12" s="1"/>
  <c r="C20" i="11"/>
  <c r="B47" i="12" s="1"/>
  <c r="B4" i="10"/>
  <c r="C18" i="11"/>
  <c r="B45" i="12" s="1"/>
  <c r="D84" i="6"/>
  <c r="D6" i="8"/>
  <c r="D60" i="6"/>
  <c r="L6" i="7"/>
  <c r="K6" i="7"/>
  <c r="J6" i="7"/>
  <c r="J5" i="7" s="1"/>
  <c r="N6" i="7"/>
  <c r="M6" i="7"/>
  <c r="M73" i="6"/>
  <c r="M70" i="6" s="1"/>
  <c r="M87" i="6" s="1"/>
  <c r="E6" i="8"/>
  <c r="E84" i="6"/>
  <c r="E60" i="6"/>
  <c r="N42" i="6"/>
  <c r="M42" i="6"/>
  <c r="L42" i="6"/>
  <c r="K42" i="6"/>
  <c r="J42" i="6"/>
  <c r="E80" i="6"/>
  <c r="E83" i="6"/>
  <c r="H59" i="6"/>
  <c r="C80" i="6"/>
  <c r="C83" i="6"/>
  <c r="H83" i="6"/>
  <c r="H80" i="6"/>
  <c r="N73" i="6"/>
  <c r="N70" i="6" s="1"/>
  <c r="N87" i="6" s="1"/>
  <c r="N36" i="6"/>
  <c r="N33" i="6" s="1"/>
  <c r="J36" i="6"/>
  <c r="J33" i="6" s="1"/>
  <c r="J32" i="6" s="1"/>
  <c r="J82" i="6" s="1"/>
  <c r="M36" i="6"/>
  <c r="M33" i="6" s="1"/>
  <c r="L36" i="6"/>
  <c r="L33" i="6" s="1"/>
  <c r="K36" i="6"/>
  <c r="K33" i="6" s="1"/>
  <c r="K73" i="6"/>
  <c r="K70" i="6" s="1"/>
  <c r="K87" i="6" s="1"/>
  <c r="L73" i="6"/>
  <c r="L70" i="6" s="1"/>
  <c r="L87" i="6" s="1"/>
  <c r="C58" i="6"/>
  <c r="D65" i="6" s="1"/>
  <c r="D50" i="6"/>
  <c r="G6" i="8"/>
  <c r="G84" i="6"/>
  <c r="G85" i="6" s="1"/>
  <c r="G60" i="6"/>
  <c r="D83" i="6"/>
  <c r="D80" i="6"/>
  <c r="J73" i="6"/>
  <c r="J70" i="6" s="1"/>
  <c r="J87" i="6" s="1"/>
  <c r="N63" i="6"/>
  <c r="K63" i="6"/>
  <c r="J63" i="6"/>
  <c r="L63" i="6"/>
  <c r="M63" i="6"/>
  <c r="F6" i="8"/>
  <c r="F84" i="6"/>
  <c r="F85" i="6" s="1"/>
  <c r="F60" i="6"/>
  <c r="K22" i="6"/>
  <c r="K19" i="6" s="1"/>
  <c r="M22" i="6"/>
  <c r="M19" i="6" s="1"/>
  <c r="D64" i="6"/>
  <c r="J13" i="7"/>
  <c r="B29" i="12"/>
  <c r="J78" i="6"/>
  <c r="K11" i="6"/>
  <c r="K40" i="6" l="1"/>
  <c r="K39" i="6" s="1"/>
  <c r="K8" i="8" s="1"/>
  <c r="B88" i="6"/>
  <c r="B5" i="8" s="1"/>
  <c r="B7" i="8" s="1"/>
  <c r="B11" i="8" s="1"/>
  <c r="K44" i="6"/>
  <c r="L44" i="6"/>
  <c r="M44" i="6"/>
  <c r="N44" i="6"/>
  <c r="L43" i="6"/>
  <c r="L40" i="6" s="1"/>
  <c r="J11" i="7"/>
  <c r="J79" i="6"/>
  <c r="J83" i="6" s="1"/>
  <c r="J8" i="7"/>
  <c r="N43" i="6"/>
  <c r="N40" i="6" s="1"/>
  <c r="K5" i="7"/>
  <c r="N11" i="10"/>
  <c r="M11" i="10"/>
  <c r="L11" i="10"/>
  <c r="K11" i="10"/>
  <c r="J11" i="10"/>
  <c r="E85" i="6"/>
  <c r="E86" i="6" s="1"/>
  <c r="E88" i="6" s="1"/>
  <c r="E5" i="8" s="1"/>
  <c r="E7" i="8" s="1"/>
  <c r="E11" i="8" s="1"/>
  <c r="E10" i="10" s="1"/>
  <c r="M43" i="6"/>
  <c r="M40" i="6" s="1"/>
  <c r="D85" i="6"/>
  <c r="D86" i="6" s="1"/>
  <c r="D88" i="6" s="1"/>
  <c r="D5" i="8" s="1"/>
  <c r="D7" i="8" s="1"/>
  <c r="D11" i="8" s="1"/>
  <c r="D10" i="10" s="1"/>
  <c r="J43" i="6"/>
  <c r="J40" i="6" s="1"/>
  <c r="J39" i="6" s="1"/>
  <c r="J8" i="8" s="1"/>
  <c r="H13" i="12"/>
  <c r="B49" i="10"/>
  <c r="G86" i="6"/>
  <c r="G88" i="6" s="1"/>
  <c r="G5" i="8" s="1"/>
  <c r="G7" i="8" s="1"/>
  <c r="G11" i="8" s="1"/>
  <c r="G10" i="10" s="1"/>
  <c r="N65" i="6"/>
  <c r="M65" i="6"/>
  <c r="L65" i="6"/>
  <c r="K65" i="6"/>
  <c r="J65" i="6"/>
  <c r="K13" i="7"/>
  <c r="C29" i="12"/>
  <c r="K78" i="6"/>
  <c r="L11" i="6"/>
  <c r="K9" i="8"/>
  <c r="H84" i="6"/>
  <c r="H85" i="6" s="1"/>
  <c r="H6" i="8"/>
  <c r="H60" i="6"/>
  <c r="K25" i="6"/>
  <c r="K81" i="6" s="1"/>
  <c r="J64" i="6"/>
  <c r="J58" i="6" s="1"/>
  <c r="L64" i="6"/>
  <c r="L58" i="6" s="1"/>
  <c r="K64" i="6"/>
  <c r="K58" i="6" s="1"/>
  <c r="N64" i="6"/>
  <c r="N58" i="6" s="1"/>
  <c r="M64" i="6"/>
  <c r="M58" i="6" s="1"/>
  <c r="C59" i="6"/>
  <c r="F86" i="6"/>
  <c r="F88" i="6" s="1"/>
  <c r="F5" i="8" s="1"/>
  <c r="F7" i="8" s="1"/>
  <c r="F11" i="8" s="1"/>
  <c r="F10" i="10" s="1"/>
  <c r="K18" i="6"/>
  <c r="K32" i="6"/>
  <c r="K82" i="6" s="1"/>
  <c r="J14" i="7" l="1"/>
  <c r="J15" i="7" s="1"/>
  <c r="J10" i="8" s="1"/>
  <c r="J80" i="6"/>
  <c r="L39" i="6"/>
  <c r="L8" i="8" s="1"/>
  <c r="L5" i="7"/>
  <c r="L32" i="6"/>
  <c r="L82" i="6" s="1"/>
  <c r="J57" i="6"/>
  <c r="J59" i="6" s="1"/>
  <c r="J84" i="6" s="1"/>
  <c r="J85" i="6" s="1"/>
  <c r="K79" i="6"/>
  <c r="K83" i="6" s="1"/>
  <c r="K8" i="7"/>
  <c r="K11" i="7"/>
  <c r="H86" i="6"/>
  <c r="H88" i="6" s="1"/>
  <c r="H5" i="8" s="1"/>
  <c r="H7" i="8" s="1"/>
  <c r="H11" i="8" s="1"/>
  <c r="H10" i="10" s="1"/>
  <c r="C84" i="6"/>
  <c r="C85" i="6" s="1"/>
  <c r="C6" i="8"/>
  <c r="C60" i="6"/>
  <c r="D29" i="12"/>
  <c r="L78" i="6"/>
  <c r="L13" i="7"/>
  <c r="M11" i="6"/>
  <c r="L9" i="8"/>
  <c r="L25" i="6"/>
  <c r="L81" i="6" s="1"/>
  <c r="L18" i="6"/>
  <c r="B31" i="12"/>
  <c r="B32" i="12" s="1"/>
  <c r="K80" i="6" l="1"/>
  <c r="J60" i="6"/>
  <c r="K56" i="6" s="1"/>
  <c r="K57" i="6" s="1"/>
  <c r="K59" i="6" s="1"/>
  <c r="J6" i="8"/>
  <c r="K14" i="7"/>
  <c r="K15" i="7" s="1"/>
  <c r="K10" i="8" s="1"/>
  <c r="B33" i="12"/>
  <c r="B34" i="12" s="1"/>
  <c r="J86" i="6"/>
  <c r="J88" i="6" s="1"/>
  <c r="C31" i="12"/>
  <c r="C32" i="12" s="1"/>
  <c r="C86" i="6"/>
  <c r="C88" i="6" s="1"/>
  <c r="C5" i="8" s="1"/>
  <c r="C7" i="8" s="1"/>
  <c r="C11" i="8" s="1"/>
  <c r="C10" i="10" s="1"/>
  <c r="L79" i="6"/>
  <c r="L80" i="6" s="1"/>
  <c r="L8" i="7"/>
  <c r="L11" i="7"/>
  <c r="M13" i="7"/>
  <c r="E29" i="12"/>
  <c r="M78" i="6"/>
  <c r="N11" i="6"/>
  <c r="M9" i="8"/>
  <c r="M25" i="6"/>
  <c r="M81" i="6" s="1"/>
  <c r="M32" i="6"/>
  <c r="M82" i="6" s="1"/>
  <c r="M5" i="7"/>
  <c r="M39" i="6"/>
  <c r="M8" i="8" s="1"/>
  <c r="M18" i="6"/>
  <c r="L14" i="7" l="1"/>
  <c r="L15" i="7" s="1"/>
  <c r="L10" i="8" s="1"/>
  <c r="L83" i="6"/>
  <c r="D31" i="12" s="1"/>
  <c r="D32" i="12" s="1"/>
  <c r="B35" i="12"/>
  <c r="J5" i="8"/>
  <c r="J7" i="8" s="1"/>
  <c r="J11" i="8" s="1"/>
  <c r="M79" i="6"/>
  <c r="M83" i="6" s="1"/>
  <c r="M8" i="7"/>
  <c r="M11" i="7"/>
  <c r="H21" i="12"/>
  <c r="N13" i="7"/>
  <c r="F29" i="12"/>
  <c r="N78" i="6"/>
  <c r="N9" i="8"/>
  <c r="N18" i="6"/>
  <c r="N25" i="6"/>
  <c r="N81" i="6" s="1"/>
  <c r="N32" i="6"/>
  <c r="N82" i="6" s="1"/>
  <c r="N5" i="7"/>
  <c r="N39" i="6"/>
  <c r="N8" i="8" s="1"/>
  <c r="K84" i="6"/>
  <c r="K85" i="6" s="1"/>
  <c r="K6" i="8"/>
  <c r="K60" i="6"/>
  <c r="L56" i="6" s="1"/>
  <c r="M14" i="7" l="1"/>
  <c r="M15" i="7" s="1"/>
  <c r="M10" i="8" s="1"/>
  <c r="M80" i="6"/>
  <c r="C33" i="12"/>
  <c r="C34" i="12" s="1"/>
  <c r="K86" i="6"/>
  <c r="K88" i="6" s="1"/>
  <c r="E31" i="12"/>
  <c r="E32" i="12" s="1"/>
  <c r="N79" i="6"/>
  <c r="N83" i="6" s="1"/>
  <c r="N8" i="7"/>
  <c r="N11" i="7"/>
  <c r="L57" i="6"/>
  <c r="L59" i="6" s="1"/>
  <c r="L60" i="6" s="1"/>
  <c r="M56" i="6" s="1"/>
  <c r="J10" i="10"/>
  <c r="J12" i="10" s="1"/>
  <c r="B36" i="12"/>
  <c r="B37" i="12" s="1"/>
  <c r="N14" i="7" l="1"/>
  <c r="N15" i="7" s="1"/>
  <c r="N10" i="8" s="1"/>
  <c r="M57" i="6"/>
  <c r="M59" i="6" s="1"/>
  <c r="H22" i="12"/>
  <c r="F31" i="12"/>
  <c r="F32" i="12" s="1"/>
  <c r="C35" i="12"/>
  <c r="K5" i="8"/>
  <c r="K7" i="8" s="1"/>
  <c r="K11" i="8" s="1"/>
  <c r="L6" i="8"/>
  <c r="L84" i="6"/>
  <c r="L85" i="6" s="1"/>
  <c r="N80" i="6"/>
  <c r="L86" i="6" l="1"/>
  <c r="L88" i="6" s="1"/>
  <c r="D33" i="12"/>
  <c r="D34" i="12" s="1"/>
  <c r="K10" i="10"/>
  <c r="K12" i="10" s="1"/>
  <c r="C36" i="12"/>
  <c r="C37" i="12" s="1"/>
  <c r="M84" i="6"/>
  <c r="M85" i="6" s="1"/>
  <c r="M6" i="8"/>
  <c r="M60" i="6"/>
  <c r="N56" i="6" s="1"/>
  <c r="M86" i="6" l="1"/>
  <c r="M88" i="6" s="1"/>
  <c r="E33" i="12"/>
  <c r="E34" i="12" s="1"/>
  <c r="N57" i="6"/>
  <c r="N59" i="6" s="1"/>
  <c r="N60" i="6" s="1"/>
  <c r="D35" i="12"/>
  <c r="L5" i="8"/>
  <c r="L7" i="8" s="1"/>
  <c r="L11" i="8" s="1"/>
  <c r="E35" i="12" l="1"/>
  <c r="M5" i="8"/>
  <c r="M7" i="8" s="1"/>
  <c r="M11" i="8" s="1"/>
  <c r="D36" i="12"/>
  <c r="D37" i="12" s="1"/>
  <c r="L10" i="10"/>
  <c r="L12" i="10" s="1"/>
  <c r="N84" i="6"/>
  <c r="N85" i="6" s="1"/>
  <c r="N6" i="8"/>
  <c r="N86" i="6" l="1"/>
  <c r="N88" i="6" s="1"/>
  <c r="H23" i="12"/>
  <c r="F33" i="12"/>
  <c r="F34" i="12" s="1"/>
  <c r="E36" i="12"/>
  <c r="E37" i="12" s="1"/>
  <c r="M10" i="10"/>
  <c r="M12" i="10" s="1"/>
  <c r="F35" i="12" l="1"/>
  <c r="N5" i="8"/>
  <c r="N7" i="8" s="1"/>
  <c r="N11" i="8" s="1"/>
  <c r="H24" i="12" l="1"/>
  <c r="N10" i="10"/>
  <c r="F36" i="12"/>
  <c r="F37" i="12" s="1"/>
  <c r="B18" i="10" l="1"/>
  <c r="N12" i="10"/>
  <c r="B16" i="10" s="1"/>
  <c r="B44" i="10" l="1"/>
  <c r="B45" i="10" s="1"/>
  <c r="B46" i="10" s="1"/>
  <c r="B47" i="10" s="1"/>
  <c r="I29" i="12"/>
  <c r="I30" i="12"/>
  <c r="B19" i="10"/>
  <c r="I31" i="12" l="1"/>
  <c r="B20" i="10"/>
  <c r="C19" i="10" s="1"/>
  <c r="A50" i="10" l="1"/>
  <c r="I32" i="12"/>
  <c r="J31" i="12" s="1"/>
  <c r="B12" i="12"/>
  <c r="B30" i="10"/>
  <c r="C5" i="11"/>
  <c r="C16" i="10"/>
  <c r="B20" i="12" l="1"/>
  <c r="B32" i="10"/>
  <c r="J32" i="12"/>
  <c r="J29" i="12"/>
  <c r="B22" i="12" l="1"/>
  <c r="C15" i="11"/>
  <c r="B42" i="12" s="1"/>
  <c r="B24" i="12" l="1"/>
  <c r="A52" i="12" s="1"/>
</calcChain>
</file>

<file path=xl/sharedStrings.xml><?xml version="1.0" encoding="utf-8"?>
<sst xmlns="http://schemas.openxmlformats.org/spreadsheetml/2006/main" count="702" uniqueCount="492">
  <si>
    <t>Source Tie-Out — Uploaded Asian Paints Annual Reports</t>
  </si>
  <si>
    <t>Tie-out item</t>
  </si>
  <si>
    <t>FY20
2019-20</t>
  </si>
  <si>
    <t>FY21
2020-21</t>
  </si>
  <si>
    <t>FY22
2021-22</t>
  </si>
  <si>
    <t>FY23
2022-23</t>
  </si>
  <si>
    <t>FY24
2023-24</t>
  </si>
  <si>
    <t>FY25
2024-25</t>
  </si>
  <si>
    <t>FY26
2025-26</t>
  </si>
  <si>
    <t>Model year</t>
  </si>
  <si>
    <t>Financial year</t>
  </si>
  <si>
    <t>Uploaded source file</t>
  </si>
  <si>
    <t>Statement / pages used</t>
  </si>
  <si>
    <t>Total assets</t>
  </si>
  <si>
    <t>FY20</t>
  </si>
  <si>
    <t>2019-20</t>
  </si>
  <si>
    <t>FINAL-Asian-Paints-IR-2020-21-online-30621.pdf</t>
  </si>
  <si>
    <t>Consolidated BS p. 262-263; Consolidated CFS p. 268-269</t>
  </si>
  <si>
    <t>Total equity and liabilities</t>
  </si>
  <si>
    <t>FY21</t>
  </si>
  <si>
    <t>2020-21</t>
  </si>
  <si>
    <t>BS check</t>
  </si>
  <si>
    <t>FY22</t>
  </si>
  <si>
    <t>2021-22</t>
  </si>
  <si>
    <t>AsianpaintsIntegratedReportFY2022.pdf</t>
  </si>
  <si>
    <t>Consolidated BS p. 294-295; Consolidated CFS p. 300-301</t>
  </si>
  <si>
    <t>CFO</t>
  </si>
  <si>
    <t>FY23</t>
  </si>
  <si>
    <t>2022-23</t>
  </si>
  <si>
    <t>Asian_PaintsIR22-23.pdf</t>
  </si>
  <si>
    <t>Consolidated BS p. 374-375; Consolidated CFS p. 380-381</t>
  </si>
  <si>
    <t>Gross capex for DCF</t>
  </si>
  <si>
    <t>FY24</t>
  </si>
  <si>
    <t>2023-24</t>
  </si>
  <si>
    <t>Asian_Paints_FY24_AnnualReport.pdf</t>
  </si>
  <si>
    <t>Consolidated BS p. 410-413; Consolidated CFS p. 418-419</t>
  </si>
  <si>
    <t>FCF check: CFO - gross capex</t>
  </si>
  <si>
    <t>FY25</t>
  </si>
  <si>
    <t>2024-25</t>
  </si>
  <si>
    <t>Integrated-Annual-Report-FY_2024-25.pdf</t>
  </si>
  <si>
    <t>Consolidated BS p. 440-441; Consolidated CFS p. 446-447</t>
  </si>
  <si>
    <t>FY26</t>
  </si>
  <si>
    <t>2025-26</t>
  </si>
  <si>
    <t>Integrated-Annual-Report-2025-26.pdf</t>
  </si>
  <si>
    <t>Consolidated BS p. 460-461; Consolidated CFS p. 466-467</t>
  </si>
  <si>
    <t>Profit &amp; Loss Statement — Consolidated</t>
  </si>
  <si>
    <t>Units — ₹ Crores</t>
  </si>
  <si>
    <t>P&amp;L item</t>
  </si>
  <si>
    <t>Revenue from operations (Goods &amp; Services)</t>
  </si>
  <si>
    <t>Other operating income, if any</t>
  </si>
  <si>
    <t>Total Operating Revenue</t>
  </si>
  <si>
    <t>Raw material cost / COGS</t>
  </si>
  <si>
    <t>Purchases of stock-in-trade</t>
  </si>
  <si>
    <t>Change in inventories</t>
  </si>
  <si>
    <t>Employee benefit expenses</t>
  </si>
  <si>
    <t>Other operating expenses</t>
  </si>
  <si>
    <t>Total Operating Expenses</t>
  </si>
  <si>
    <t>EBITDA</t>
  </si>
  <si>
    <t>Depreciation &amp; amortisation</t>
  </si>
  <si>
    <t>EBIT</t>
  </si>
  <si>
    <t>Other income</t>
  </si>
  <si>
    <t>Finance cost</t>
  </si>
  <si>
    <t>Exceptional items</t>
  </si>
  <si>
    <t>Share of profit in Associates</t>
  </si>
  <si>
    <t>Profit before tax</t>
  </si>
  <si>
    <t>Tax expense</t>
  </si>
  <si>
    <t>PAT / net profit</t>
  </si>
  <si>
    <t>Tax Rate (%)</t>
  </si>
  <si>
    <t>Historical Balance Sheet — Consolidated</t>
  </si>
  <si>
    <t>BS item</t>
  </si>
  <si>
    <t>Source / treatment</t>
  </si>
  <si>
    <t>Operating Asset or Not</t>
  </si>
  <si>
    <t>Cash and cash equivalents</t>
  </si>
  <si>
    <t>Direct BS line: Cash and Cash Equivalents</t>
  </si>
  <si>
    <t>Operating Asset but not included in forecasting</t>
  </si>
  <si>
    <t>Current investments</t>
  </si>
  <si>
    <t>Current Financial Assets - Investments</t>
  </si>
  <si>
    <t>Non-operating asset</t>
  </si>
  <si>
    <t>Trade receivables</t>
  </si>
  <si>
    <t>Current trade receivables only; non-current trade receivables excluded</t>
  </si>
  <si>
    <t>Inventories</t>
  </si>
  <si>
    <t>Direct BS line</t>
  </si>
  <si>
    <t xml:space="preserve">Operating Asset  </t>
  </si>
  <si>
    <t>Other current assets</t>
  </si>
  <si>
    <t>Direct BS line: Other Current Assets; excludes cash, investments, other financial assets</t>
  </si>
  <si>
    <t>Net PP&amp;E</t>
  </si>
  <si>
    <t>Direct BS line: Property, Plant and Equipment</t>
  </si>
  <si>
    <t>Operating Asset</t>
  </si>
  <si>
    <t>Other intangible assets (excl. goodwill)</t>
  </si>
  <si>
    <t>Direct BS line: Other Intangible Assets only; goodwill excluded from depreciable base</t>
  </si>
  <si>
    <t>Operating Asset; included in depreciable base; goodwill excluded</t>
  </si>
  <si>
    <t>Right-of-use assets</t>
  </si>
  <si>
    <t>Direct BS line: Right-of-Use Assets</t>
  </si>
  <si>
    <t>Trade payables</t>
  </si>
  <si>
    <t>MSME dues + creditors other than MSME</t>
  </si>
  <si>
    <t>Operating Liability</t>
  </si>
  <si>
    <t>Other current liabilities</t>
  </si>
  <si>
    <t>Other Financial Liabilities + Other Current Liabilities + Provisions; excludes borrowings, lease and tax</t>
  </si>
  <si>
    <t>Non-operating Liabilitiy</t>
  </si>
  <si>
    <t>Short-term borrowings</t>
  </si>
  <si>
    <t>Current Financial Liabilities - Borrowings</t>
  </si>
  <si>
    <t>Current maturities of long-term debt</t>
  </si>
  <si>
    <t>Not separately disclosed in main BS; included within current borrowings if applicable</t>
  </si>
  <si>
    <t>Long-term borrowings</t>
  </si>
  <si>
    <t>Non-current Financial Liabilities - Borrowings</t>
  </si>
  <si>
    <t>Lease liabilities</t>
  </si>
  <si>
    <t>Current lease liabilities + non-current lease liabilities</t>
  </si>
  <si>
    <t>Deferred tax liabilities/(assets), net</t>
  </si>
  <si>
    <t>Deferred Tax Liabilities less Deferred Tax Assets</t>
  </si>
  <si>
    <t>Share capital</t>
  </si>
  <si>
    <t>Other equity / reserves</t>
  </si>
  <si>
    <t>Direct BS line: Other Equity</t>
  </si>
  <si>
    <t>Non-controlling interest / NCI</t>
  </si>
  <si>
    <t>Other balances with banks</t>
  </si>
  <si>
    <t>Direct BS line: Other Balances with Banks</t>
  </si>
  <si>
    <t>Total assets - report check</t>
  </si>
  <si>
    <t>Direct BS line: Total Assets</t>
  </si>
  <si>
    <t>Total equity and liabilities - report check</t>
  </si>
  <si>
    <t>Direct BS line: Total Equity and Liabilities</t>
  </si>
  <si>
    <t>Operating NWC</t>
  </si>
  <si>
    <t>Trade receivables + Inventories + Other current assets - Trade payables - Other current liabilities</t>
  </si>
  <si>
    <t>Net debt / (cash &amp; current investments)</t>
  </si>
  <si>
    <t>ST borrowings + LT borrowings + lease liabilities - cash - current investments</t>
  </si>
  <si>
    <t>Historical Cash Flow — Consolidated</t>
  </si>
  <si>
    <t>Cash flow item</t>
  </si>
  <si>
    <t>Net cash generated from operating activities / CFO</t>
  </si>
  <si>
    <t>Direct CFS line</t>
  </si>
  <si>
    <t>Purchase of PP&amp;E and other intangible assets</t>
  </si>
  <si>
    <t>CFS investing section</t>
  </si>
  <si>
    <t>Sale of property, plant and equipment</t>
  </si>
  <si>
    <t>Payment for acquiring right-of-use assets</t>
  </si>
  <si>
    <t>Net cash used in investing activities</t>
  </si>
  <si>
    <t>Proceeds from long/non-current borrowings</t>
  </si>
  <si>
    <t>CFS financing section</t>
  </si>
  <si>
    <t>Repayment of long/non-current borrowings</t>
  </si>
  <si>
    <t>Proceeds/(repayment) of short/current borrowings, net</t>
  </si>
  <si>
    <t>Acceptances, net</t>
  </si>
  <si>
    <t>Repayment of principal portion of lease liabilities</t>
  </si>
  <si>
    <t>Finance costs paid</t>
  </si>
  <si>
    <t>Dividend paid</t>
  </si>
  <si>
    <t>Net cash used in financing activities</t>
  </si>
  <si>
    <t>Net increase/(decrease) in cash and cash equivalents</t>
  </si>
  <si>
    <t>Cash and cash equivalents at 1 April</t>
  </si>
  <si>
    <t>FX effect on cash and cash equivalents</t>
  </si>
  <si>
    <t>Cash and cash equivalents at 31 March</t>
  </si>
  <si>
    <t>Gross capex for DCF, positive</t>
  </si>
  <si>
    <t>- Purchase of PP&amp;E and other intangible assets</t>
  </si>
  <si>
    <t>Capex incl. ROU assets, positive</t>
  </si>
  <si>
    <t>- (Purchase of PP&amp;E/intangibles + ROU asset payments)</t>
  </si>
  <si>
    <t>CFO less gross capex; broad check against forecast FCF</t>
  </si>
  <si>
    <t>FCF check incl. ROU: CFO - capex incl. ROU</t>
  </si>
  <si>
    <t>CFO less capex including ROU payments</t>
  </si>
  <si>
    <t>Profit &amp; Loss Statement Forecasted (NOPAT table Included)</t>
  </si>
  <si>
    <t>Case Selector</t>
  </si>
  <si>
    <t>Case 1</t>
  </si>
  <si>
    <t>Bullish</t>
  </si>
  <si>
    <t>Case 2</t>
  </si>
  <si>
    <t>Base</t>
  </si>
  <si>
    <t>Case 3</t>
  </si>
  <si>
    <t>Bearish</t>
  </si>
  <si>
    <t>Number of Forecast Years</t>
  </si>
  <si>
    <t>Years</t>
  </si>
  <si>
    <t>2026-27</t>
  </si>
  <si>
    <t>2027-28</t>
  </si>
  <si>
    <t>2028-29</t>
  </si>
  <si>
    <t>2029-30</t>
  </si>
  <si>
    <t>2030-31</t>
  </si>
  <si>
    <t>Comments</t>
  </si>
  <si>
    <t>Net Operating Revenue</t>
  </si>
  <si>
    <t>Growth Rate (%)</t>
  </si>
  <si>
    <t>Total Material-Related Cost</t>
  </si>
  <si>
    <t>Percentage of Revenue (%)</t>
  </si>
  <si>
    <t>Employee Benefit Expenses</t>
  </si>
  <si>
    <t>Other Operating Expenses</t>
  </si>
  <si>
    <t>Capex</t>
  </si>
  <si>
    <t>Latest %</t>
  </si>
  <si>
    <t>3 Year Average %</t>
  </si>
  <si>
    <t>7 Year Average %</t>
  </si>
  <si>
    <t>Depreciation &amp; Ammortization</t>
  </si>
  <si>
    <t>6 Year Average %</t>
  </si>
  <si>
    <t xml:space="preserve"> </t>
  </si>
  <si>
    <t>Opening Net PP&amp;E</t>
  </si>
  <si>
    <t>Column B FY19 opening balances are the comparative column of the FY2019-20 annual report.</t>
  </si>
  <si>
    <t>Opening ROU</t>
  </si>
  <si>
    <t>Opening Other Intangibles (excl. goodwill)</t>
  </si>
  <si>
    <t>Total Depreciable Operating Assets</t>
  </si>
  <si>
    <t>Total Depreciable Operating Assets + 50% Capex</t>
  </si>
  <si>
    <t>Depreciation Rate</t>
  </si>
  <si>
    <t>Depreciation Amount</t>
  </si>
  <si>
    <t>Closing Depreciable Base</t>
  </si>
  <si>
    <t>Tax Expense</t>
  </si>
  <si>
    <t>PBT</t>
  </si>
  <si>
    <t>`</t>
  </si>
  <si>
    <t>Gross Margin</t>
  </si>
  <si>
    <t>EBIDTA</t>
  </si>
  <si>
    <t>Tax Amount</t>
  </si>
  <si>
    <t>NOPAT</t>
  </si>
  <si>
    <t>Balance Sheet Forecasted</t>
  </si>
  <si>
    <t>Trade Recivables</t>
  </si>
  <si>
    <t>DSO</t>
  </si>
  <si>
    <t>Average of the five years FY22-FY26, which sit in a narrow range</t>
  </si>
  <si>
    <t>Trade Payables</t>
  </si>
  <si>
    <t>DPO</t>
  </si>
  <si>
    <t>Average of recent 3 years taken as they are close</t>
  </si>
  <si>
    <t>DIO</t>
  </si>
  <si>
    <t>Average of FY23, FY24 and FY26; FY25 excluded as an outlier</t>
  </si>
  <si>
    <t>Net other operating working capital</t>
  </si>
  <si>
    <t>Other current assets less other current liabilities/provisions; forecast using latest 3-year average as % of revenue</t>
  </si>
  <si>
    <t>Working Capital</t>
  </si>
  <si>
    <t>Working capital now matches Historical BS scope: AR + inventory + net other operating WC - trade payables</t>
  </si>
  <si>
    <t>Change In Working Capital</t>
  </si>
  <si>
    <t>Cash Flow Forecasted</t>
  </si>
  <si>
    <t>Add: Depreciation &amp; Ammortization</t>
  </si>
  <si>
    <t>Gross Cash Flow</t>
  </si>
  <si>
    <t>Less: Capex</t>
  </si>
  <si>
    <t>Less: Investment in right-of-use assets</t>
  </si>
  <si>
    <t>Cash paid to acquire right-of-use assets, per the consolidated cash flow statement, forecast on the latest three-year average as a percentage of revenue. Charged against free cash flow so that lease investment is captured, consistent with lease liabilities being deducted as debt in the equity bridge.</t>
  </si>
  <si>
    <t>Less: Investment In Working Capital</t>
  </si>
  <si>
    <t>Net Cash Flow</t>
  </si>
  <si>
    <t>WACC &amp; BETA Calculation</t>
  </si>
  <si>
    <t>WACC CALCULATIONS</t>
  </si>
  <si>
    <t>BETA CALCULATION CHART</t>
  </si>
  <si>
    <t>BETA</t>
  </si>
  <si>
    <t>BSE500</t>
  </si>
  <si>
    <t>Header</t>
  </si>
  <si>
    <t>Amount</t>
  </si>
  <si>
    <t>Date</t>
  </si>
  <si>
    <t>Asian Paints</t>
  </si>
  <si>
    <t>NSE500</t>
  </si>
  <si>
    <t>NSE50</t>
  </si>
  <si>
    <t>Total Equity to Capital</t>
  </si>
  <si>
    <t>Price</t>
  </si>
  <si>
    <t>Total Debt to Capital</t>
  </si>
  <si>
    <t>Calculations</t>
  </si>
  <si>
    <t>Risk free Rate</t>
  </si>
  <si>
    <t>https://tradingeconomics.com/india/government-bond-yield</t>
  </si>
  <si>
    <t>Equity Beta</t>
  </si>
  <si>
    <t>BSE 500 &amp; NSE 500 are a better gauge as we are comparing to more number of companies for beta, however nifty 50 also does compare many high ranked companies in the NSE, so we will incline more towards 6.8 but not exactly</t>
  </si>
  <si>
    <t>Market Risk Premium</t>
  </si>
  <si>
    <t>https://papers.ssrn.com/sol3/papers.cfm?abstract_id=6570342</t>
  </si>
  <si>
    <t>Cost of Equity</t>
  </si>
  <si>
    <t>Credit Spread</t>
  </si>
  <si>
    <t>https://www.crisil.com/mnt/winshare/Ratings/RatingList/RatingDocs/AsianPaintsLimited_September%2010_%202025_RR_376066.html</t>
  </si>
  <si>
    <t>Pre-Tax Cost of Debt</t>
  </si>
  <si>
    <t>Maringal Tax rate</t>
  </si>
  <si>
    <t>For an Indian domestic company under Section 115BAA, the base tax rate is 22%. The Income Tax Department also states that for companies under Section 115BAA, surcharge is 10%, and Health &amp; Education Cess is 4%.</t>
  </si>
  <si>
    <t>Cost of Debt</t>
  </si>
  <si>
    <t>Weight Average Cost of Equity</t>
  </si>
  <si>
    <t>Weighted Average Cost of Debt</t>
  </si>
  <si>
    <t>Weighted Average Cost of Capital</t>
  </si>
  <si>
    <t>Equity Value Case Selector</t>
  </si>
  <si>
    <t>1 = Calculation based Total Equity Value</t>
  </si>
  <si>
    <t>2 = Annual Report based Total Equity Value</t>
  </si>
  <si>
    <t>Shares Outstanding</t>
  </si>
  <si>
    <t>Price Per Share</t>
  </si>
  <si>
    <t>Total Equity Value</t>
  </si>
  <si>
    <t>Total Equity Value (2025-26 Annual Report)</t>
  </si>
  <si>
    <t>Total Debt Value</t>
  </si>
  <si>
    <t>Discounted Cash Flow</t>
  </si>
  <si>
    <t>WACC</t>
  </si>
  <si>
    <t>Terminal Growth Rate Selector</t>
  </si>
  <si>
    <t>Terminal Growth Rate Options</t>
  </si>
  <si>
    <t>Pessimistic</t>
  </si>
  <si>
    <t>Optimistic</t>
  </si>
  <si>
    <t>Discounting Factor</t>
  </si>
  <si>
    <t>DCF Value</t>
  </si>
  <si>
    <t>Chosen Terminal Growth Rate</t>
  </si>
  <si>
    <t>Continuing Value</t>
  </si>
  <si>
    <t>Present Value of Continuing Value</t>
  </si>
  <si>
    <t>Enterprise Value</t>
  </si>
  <si>
    <t>Add: Cash &amp; Cash Equivalents</t>
  </si>
  <si>
    <t>Add: Other balances with banks</t>
  </si>
  <si>
    <t>Add: Current Investments</t>
  </si>
  <si>
    <t>Less: Short-term borrowings</t>
  </si>
  <si>
    <t>Less: Long-term borrowings</t>
  </si>
  <si>
    <t>Less: Lease liabilities</t>
  </si>
  <si>
    <t>Less: Non-controlling interest / NCI</t>
  </si>
  <si>
    <t>Equity Value</t>
  </si>
  <si>
    <t>Number of Shares</t>
  </si>
  <si>
    <t>Price Per Equity Share</t>
  </si>
  <si>
    <t>Reconciliation to Market Price</t>
  </si>
  <si>
    <t>Market price per share (INR)</t>
  </si>
  <si>
    <t>Shares outstanding (crore)</t>
  </si>
  <si>
    <t>Market capitalisation</t>
  </si>
  <si>
    <t>Add: Short-term borrowings</t>
  </si>
  <si>
    <t>Add: Long-term borrowings</t>
  </si>
  <si>
    <t>Add: Lease liabilities</t>
  </si>
  <si>
    <t>Add: Non-controlling interest</t>
  </si>
  <si>
    <t>Less: Cash, bank balances and current investments</t>
  </si>
  <si>
    <t>Market-implied Enterprise Value</t>
  </si>
  <si>
    <t>Less: PV of explicit forecast cash flow</t>
  </si>
  <si>
    <t>Market-implied PV of continuing value</t>
  </si>
  <si>
    <t>Market-implied continuing value at FY31</t>
  </si>
  <si>
    <t>Market-implied terminal growth rate</t>
  </si>
  <si>
    <t>Terminal growth rate used in this model</t>
  </si>
  <si>
    <t>WACC used in this model</t>
  </si>
  <si>
    <t>Sensitivity Analysis</t>
  </si>
  <si>
    <t>Terminal Growth Rate (%)</t>
  </si>
  <si>
    <t>WACC (%)</t>
  </si>
  <si>
    <t>Weighted Average Cost of Capital (%)</t>
  </si>
  <si>
    <t>Per Share Price</t>
  </si>
  <si>
    <t>Formatting Legend</t>
  </si>
  <si>
    <t>Formula / calculation cells</t>
  </si>
  <si>
    <t>Light grey fill</t>
  </si>
  <si>
    <t>Used for model calculations and linked formulas</t>
  </si>
  <si>
    <t>Key output / essential information</t>
  </si>
  <si>
    <t>Light blue fill</t>
  </si>
  <si>
    <t>Used for final valuation outputs and important subtotal rows</t>
  </si>
  <si>
    <t>Scenario case areas</t>
  </si>
  <si>
    <t>Lavender fill</t>
  </si>
  <si>
    <t>Used for optimistic / base / pessimistic scenario blocks</t>
  </si>
  <si>
    <t>Case selectors</t>
  </si>
  <si>
    <t>Yellow fill</t>
  </si>
  <si>
    <t>Used for any cell which needs to be interacted with to select a case</t>
  </si>
  <si>
    <t>Headings</t>
  </si>
  <si>
    <t>Orange fill</t>
  </si>
  <si>
    <t>Used for the headings of any table which depict what data is in the table</t>
  </si>
  <si>
    <t>Enterprise Value to Equity Value Bridge</t>
  </si>
  <si>
    <t>Key Valuation Assumptions</t>
  </si>
  <si>
    <t>Item</t>
  </si>
  <si>
    <t>Value</t>
  </si>
  <si>
    <t>Unit</t>
  </si>
  <si>
    <t>Source / Formula</t>
  </si>
  <si>
    <t>Comment</t>
  </si>
  <si>
    <t>Assumption</t>
  </si>
  <si>
    <t>Source</t>
  </si>
  <si>
    <t>₹ cr</t>
  </si>
  <si>
    <t>DCF!B20</t>
  </si>
  <si>
    <t>Present value of forecast FCF + terminal value</t>
  </si>
  <si>
    <t>Selected case</t>
  </si>
  <si>
    <t>Forecast P&amp;L!B4</t>
  </si>
  <si>
    <t>1 = Bullish, 2 = Base, 3 = Bearish</t>
  </si>
  <si>
    <t>Add: Cash and cash equivalents</t>
  </si>
  <si>
    <t>DCF!B23</t>
  </si>
  <si>
    <t>Cash-like asset added back</t>
  </si>
  <si>
    <t>DCF!B4</t>
  </si>
  <si>
    <t>Discount rate used in DCF</t>
  </si>
  <si>
    <t>DCF!B24</t>
  </si>
  <si>
    <t>Cash-like bank balance added back</t>
  </si>
  <si>
    <t>Terminal growth rate</t>
  </si>
  <si>
    <t>DCF!B17</t>
  </si>
  <si>
    <t>Growth rate used for terminal value</t>
  </si>
  <si>
    <t>Add: Current investments</t>
  </si>
  <si>
    <t>DCF!B25</t>
  </si>
  <si>
    <t>Marketable/current financial investments added back</t>
  </si>
  <si>
    <t>Risk-free rate</t>
  </si>
  <si>
    <t>WACC!B10</t>
  </si>
  <si>
    <t>India government bond yield input</t>
  </si>
  <si>
    <t>DCF!B26</t>
  </si>
  <si>
    <t>Debt-like claim deducted</t>
  </si>
  <si>
    <t>Equity beta</t>
  </si>
  <si>
    <t>WACC!B11</t>
  </si>
  <si>
    <t>Selected beta assumption</t>
  </si>
  <si>
    <t>DCF!B27</t>
  </si>
  <si>
    <t>Market risk premium</t>
  </si>
  <si>
    <t>WACC!B12</t>
  </si>
  <si>
    <t>Equity risk premium assumption</t>
  </si>
  <si>
    <t>DCF!B28</t>
  </si>
  <si>
    <t>Lease obligations treated as debt-like</t>
  </si>
  <si>
    <t>Cost of equity</t>
  </si>
  <si>
    <t>WACC!B13</t>
  </si>
  <si>
    <t>Rf + beta × MRP</t>
  </si>
  <si>
    <t>DCF!B29</t>
  </si>
  <si>
    <t>Value belonging to minority shareholders deducted</t>
  </si>
  <si>
    <t>Pre-tax cost of debt</t>
  </si>
  <si>
    <t>WACC!B16</t>
  </si>
  <si>
    <t>Risk-free rate + credit spread</t>
  </si>
  <si>
    <t>DCF!B30</t>
  </si>
  <si>
    <t>Value attributable to ordinary shareholders</t>
  </si>
  <si>
    <t>Marginal tax rate</t>
  </si>
  <si>
    <t>WACC!B17</t>
  </si>
  <si>
    <t>Tax shield assumption</t>
  </si>
  <si>
    <t>cr shares</t>
  </si>
  <si>
    <t>DCF!B31</t>
  </si>
  <si>
    <t>Used for value per share</t>
  </si>
  <si>
    <t>Forecast revenue CAGR</t>
  </si>
  <si>
    <t>Forecast P&amp;L</t>
  </si>
  <si>
    <t>FY26 actual to FY31 forecast CAGR</t>
  </si>
  <si>
    <t>Intrinsic Value per Share</t>
  </si>
  <si>
    <t>₹ / share</t>
  </si>
  <si>
    <t>DCF!B32</t>
  </si>
  <si>
    <t>DCF equity value divided by shares</t>
  </si>
  <si>
    <t>Final year EBITDA margin</t>
  </si>
  <si>
    <t>FY31 EBITDA / FY31 revenue</t>
  </si>
  <si>
    <t>Market-implied price (Annual Report market cap)</t>
  </si>
  <si>
    <t>WACC!B32 / WACC!B29</t>
  </si>
  <si>
    <t>Company-reported market cap divided by shares</t>
  </si>
  <si>
    <t>Final year EBIT margin</t>
  </si>
  <si>
    <t>FY31 EBIT / FY31 revenue</t>
  </si>
  <si>
    <t>Upside / (Downside) vs annual report price</t>
  </si>
  <si>
    <t>%</t>
  </si>
  <si>
    <t>Intrinsic / market-implied price - 1</t>
  </si>
  <si>
    <t>Valuation gap</t>
  </si>
  <si>
    <t>Final year FCF margin</t>
  </si>
  <si>
    <t>Forecast FCF</t>
  </si>
  <si>
    <t>FY31 FCF / FY31 revenue</t>
  </si>
  <si>
    <t>Forecast Summary</t>
  </si>
  <si>
    <t>DCF Value Breakdown</t>
  </si>
  <si>
    <t>% of EV</t>
  </si>
  <si>
    <t>Revenue</t>
  </si>
  <si>
    <t>PV of Explicit Forecast FCF</t>
  </si>
  <si>
    <t>Revenue Growth</t>
  </si>
  <si>
    <t>Terminal Value</t>
  </si>
  <si>
    <t>PV of Terminal Value</t>
  </si>
  <si>
    <t>EBITDA Margin</t>
  </si>
  <si>
    <t>EBIT Margin</t>
  </si>
  <si>
    <t>Free Cash Flow</t>
  </si>
  <si>
    <t>FCF Margin</t>
  </si>
  <si>
    <t>Per Share Sensitivity: WACC vs Terminal Growth</t>
  </si>
  <si>
    <t>Conclusion / Interpretation</t>
  </si>
  <si>
    <t>Decision Log — Historical BS and Cash Flow Build</t>
  </si>
  <si>
    <t>Area</t>
  </si>
  <si>
    <t>Treatment used</t>
  </si>
  <si>
    <t>What was included</t>
  </si>
  <si>
    <t>What was excluded / fallback</t>
  </si>
  <si>
    <t>Why</t>
  </si>
  <si>
    <t>Scope</t>
  </si>
  <si>
    <t>Financial statements used</t>
  </si>
  <si>
    <t>Consolidated statements</t>
  </si>
  <si>
    <t>Used consolidated balance sheet and consolidated cash flow statements from uploaded Asian Paints annual reports.</t>
  </si>
  <si>
    <t>Standalone statements</t>
  </si>
  <si>
    <t>Market cap values the group, so consolidated statements are the better base for DCF unless the model is explicitly standalone.</t>
  </si>
  <si>
    <t>Units</t>
  </si>
  <si>
    <t>All figures</t>
  </si>
  <si>
    <t>₹ crores</t>
  </si>
  <si>
    <t>All annual reports present the relevant consolidated financial statements in ₹ crores.</t>
  </si>
  <si>
    <t>No conversion to ₹ millions in this workbook</t>
  </si>
  <si>
    <t>Maintains consistency with the P&amp;L already entered in the workbook.</t>
  </si>
  <si>
    <t>Balance sheet</t>
  </si>
  <si>
    <t>Current trade receivables only</t>
  </si>
  <si>
    <t>Used current trade receivables for DSO and operating working capital.</t>
  </si>
  <si>
    <t>Non-current trade receivables</t>
  </si>
  <si>
    <t>Non-current receivables are not a normal revenue-cycle driver and are immaterial for DSO.</t>
  </si>
  <si>
    <t>Operating current assets only</t>
  </si>
  <si>
    <t>Used the direct 'Other Current Assets' line.</t>
  </si>
  <si>
    <t>Cash, current investments, other financial assets, tax assets</t>
  </si>
  <si>
    <t>Those are financial/non-operating or tax items rather than normal operating working capital drivers.</t>
  </si>
  <si>
    <t>Separate non-operating asset</t>
  </si>
  <si>
    <t>Kept current investments separately for cash/net debt or equity bridge work.</t>
  </si>
  <si>
    <t>Not included in operating working capital</t>
  </si>
  <si>
    <t>Investment income should not be capitalised in operating FCF and then added back again.</t>
  </si>
  <si>
    <t>Intangible assets</t>
  </si>
  <si>
    <t>Other Intangible Assets only</t>
  </si>
  <si>
    <t>Used the Other Intangible Assets line only, as the depreciable base should exclude goodwill.</t>
  </si>
  <si>
    <t>Goodwill; investments in associates</t>
  </si>
  <si>
    <t>Goodwill is not depreciated and associates are separate non-operating strategic investments, so neither belongs in the depreciable asset base.</t>
  </si>
  <si>
    <t>MSME + other creditors</t>
  </si>
  <si>
    <t>Added both disclosed trade payable sub-lines.</t>
  </si>
  <si>
    <t>Borrowings, lease liabilities, tax liabilities</t>
  </si>
  <si>
    <t>Only supplier payables belong in DPO / operating working capital.</t>
  </si>
  <si>
    <t>Other financial liabilities + other current liabilities + provisions</t>
  </si>
  <si>
    <t>Combined these as a broad operating-current-liability bucket.</t>
  </si>
  <si>
    <t>Borrowings, current lease liabilities, income tax liabilities</t>
  </si>
  <si>
    <t>The CFS treats other financial liabilities, other liabilities and provisions as working-capital movements; debt and tax are handled separately.</t>
  </si>
  <si>
    <t>Left as zero / not separately disclosed</t>
  </si>
  <si>
    <t>The main consolidated BS does not separately show current maturities; it shows one current borrowings line.</t>
  </si>
  <si>
    <t>No manual split from notes</t>
  </si>
  <si>
    <t>Avoids inventing a split not clearly required for the model at this stage.</t>
  </si>
  <si>
    <t>Current + non-current lease liabilities</t>
  </si>
  <si>
    <t>Added both lease liability lines as debt-like items.</t>
  </si>
  <si>
    <t>Lease repayment not included in unlevered FCF</t>
  </si>
  <si>
    <t>Lease liabilities are debt-like for the equity bridge, but unlevered FCF is before financing.</t>
  </si>
  <si>
    <t>DTL less DTA</t>
  </si>
  <si>
    <t>Both net DTA and net DTL appear because different entities/jurisdictions can have different tax positions.</t>
  </si>
  <si>
    <t>Current tax assets/liabilities</t>
  </si>
  <si>
    <t>Current tax is not part of operating working capital for this simple DCF.</t>
  </si>
  <si>
    <t>Cash flow</t>
  </si>
  <si>
    <t>Gross purchase line used</t>
  </si>
  <si>
    <t>Used 'Purchase of property, plant and equipment and other intangible assets' where available; FY20/FY21 report showed PP&amp;E purchase line.</t>
  </si>
  <si>
    <t>Asset sale proceeds not netted into gross capex</t>
  </si>
  <si>
    <t>DCF capex is normally gross reinvestment; disposals are shown separately.</t>
  </si>
  <si>
    <t>Right-of-use asset payments</t>
  </si>
  <si>
    <t>Shown separately and in secondary capex check</t>
  </si>
  <si>
    <t>Standard gross capex excludes ROU asset payments; second check includes ROU payments.</t>
  </si>
  <si>
    <t>Not forced into main capex</t>
  </si>
  <si>
    <t>Leases can be modelled separately once you build a more advanced lease schedule.</t>
  </si>
  <si>
    <t>Cash flow statement cash</t>
  </si>
  <si>
    <t>Kept as CFS definition</t>
  </si>
  <si>
    <t>CFS closing cash includes liquid mutual funds and deducts cash credit/overdrafts in its cash-equivalent reconciliation.</t>
  </si>
  <si>
    <t>Not forced to equal BS cash only</t>
  </si>
  <si>
    <t>CFS cash-equivalents definition differs from BS 'Cash and Cash Equivalents' line.</t>
  </si>
  <si>
    <t>Acceptances</t>
  </si>
  <si>
    <t>Kept separate from borrowings</t>
  </si>
  <si>
    <t>Acceptances are shown in financing activities but not combined with borrowings in the BS debt rows.</t>
  </si>
  <si>
    <t>Not treated as standard debt for WACC</t>
  </si>
  <si>
    <t>It is supplier/trade financing-like; better to keep visible and decide later.</t>
  </si>
  <si>
    <t>Asian Paints Limited (NSE: ASIANPAINT)</t>
  </si>
  <si>
    <t>Valuation date: 31 March 2026</t>
  </si>
  <si>
    <t>All figures in ₹ crore</t>
  </si>
  <si>
    <t>Share price used: ₹2,164.50</t>
  </si>
  <si>
    <t>Method: unlevered DCF, five-year forecast plus terminal value</t>
  </si>
  <si>
    <t>Prepared by: Neev Hiranandani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</si>
</sst>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000%"/>
    <numFmt numFmtId="165" formatCode="#,##0.00;[Red]\(#,##0.00\);\-"/>
    <numFmt numFmtId="166" formatCode="_(* #,##0.000_);_(* \(#,##0.000\);_(* &quot;-&quot;??_);_(@_)"/>
    <numFmt numFmtId="167" formatCode="_(* #,##0.0_);_(* \(#,##0.0\);_(* &quot;-&quot;?_);@_)"/>
    <numFmt numFmtId="168" formatCode="#,##0.0"/>
    <numFmt numFmtId="169" formatCode="#,##0.000"/>
    <numFmt numFmtId="170" formatCode="#,##0.0;[Red]\(#,##0.0\);\-"/>
    <numFmt numFmtId="171" formatCode="0.0%;[Red]\(0.0%\);\-"/>
    <numFmt numFmtId="172" formatCode="0.000%;[Red]\(0.000%\);\-"/>
    <numFmt numFmtId="173" formatCode="\₹#,##0.00;[Red]\(\₹#,##0.00\);\-"/>
    <numFmt numFmtId="174" formatCode="0.0%"/>
    <numFmt numFmtId="175" formatCode="#,##0.000;[Red]\(#,##0.000\);\-"/>
    <numFmt numFmtId="176" formatCode="#,##0;[Red]\(#,##0\);\-"/>
  </numFmts>
  <fonts count="32" x14ac:knownFonts="1">
    <font>
      <sz val="11"/>
      <color theme="1"/>
      <name val="Aptos Narrow"/>
    </font>
    <font>
      <sz val="11"/>
      <color theme="1"/>
      <name val="Calibri"/>
      <family val="2"/>
    </font>
    <font>
      <sz val="11"/>
      <color theme="1"/>
      <name val="Aptos Narrow"/>
      <family val="2"/>
    </font>
    <font>
      <b/>
      <sz val="14"/>
      <color rgb="FFFFFFFF"/>
      <name val="Aptos Narrow"/>
      <family val="2"/>
    </font>
    <font>
      <b/>
      <sz val="11"/>
      <color rgb="FF000000"/>
      <name val="Aptos Narrow"/>
      <family val="2"/>
    </font>
    <font>
      <sz val="14"/>
      <color theme="1"/>
      <name val="Arial"/>
      <family val="2"/>
    </font>
    <font>
      <b/>
      <sz val="14"/>
      <color theme="1"/>
      <name val="Arial"/>
      <family val="2"/>
    </font>
    <font>
      <b/>
      <sz val="16"/>
      <color theme="1"/>
      <name val="Arial"/>
      <family val="2"/>
    </font>
    <font>
      <b/>
      <sz val="14"/>
      <color rgb="FF000000"/>
      <name val="Arial"/>
      <family val="2"/>
    </font>
    <font>
      <sz val="14"/>
      <color theme="1"/>
      <name val="Arial"/>
      <family val="2"/>
    </font>
    <font>
      <b/>
      <sz val="14"/>
      <color theme="1"/>
      <name val="Arial"/>
      <family val="2"/>
    </font>
    <font>
      <sz val="11"/>
      <color theme="1"/>
      <name val="Arial"/>
      <family val="2"/>
    </font>
    <font>
      <b/>
      <sz val="14"/>
      <color rgb="FFFFFFFF"/>
      <name val="Arial"/>
      <family val="2"/>
    </font>
    <font>
      <b/>
      <sz val="14"/>
      <color rgb="FF000000"/>
      <name val="Arial"/>
      <family val="2"/>
    </font>
    <font>
      <b/>
      <sz val="14"/>
      <color theme="0"/>
      <name val="Arial"/>
      <family val="2"/>
    </font>
    <font>
      <b/>
      <sz val="12"/>
      <color rgb="FF000000"/>
      <name val="Arial"/>
      <family val="2"/>
    </font>
    <font>
      <sz val="12"/>
      <color theme="1"/>
      <name val="Arial"/>
      <family val="2"/>
    </font>
    <font>
      <b/>
      <sz val="12"/>
      <color theme="1"/>
      <name val="Arial"/>
      <family val="2"/>
    </font>
    <font>
      <b/>
      <sz val="16"/>
      <color rgb="FF000000"/>
      <name val="Arial"/>
      <family val="2"/>
    </font>
    <font>
      <sz val="16"/>
      <color theme="1"/>
      <name val="Arial"/>
      <family val="2"/>
    </font>
    <font>
      <sz val="12"/>
      <color rgb="FF0000FF"/>
      <name val="Arial"/>
      <family val="2"/>
    </font>
    <font>
      <b/>
      <sz val="12"/>
      <color rgb="FF0000FF"/>
      <name val="Arial"/>
      <family val="2"/>
    </font>
    <font>
      <sz val="12"/>
      <color rgb="FF000000"/>
      <name val="Arial"/>
      <family val="2"/>
    </font>
    <font>
      <sz val="12"/>
      <color theme="1"/>
      <name val="Aptos Narrow"/>
      <family val="2"/>
    </font>
    <font>
      <sz val="14"/>
      <color rgb="FF000000"/>
      <name val="Arial"/>
      <family val="2"/>
    </font>
    <font>
      <b/>
      <sz val="12"/>
      <color rgb="FFFFFFFF"/>
      <name val="Arial"/>
      <family val="2"/>
    </font>
    <font>
      <sz val="11"/>
      <color theme="1"/>
      <name val="Aptos Narrow"/>
      <family val="2"/>
    </font>
    <font>
      <b/>
      <sz val="12"/>
      <name val="Arial"/>
      <family val="2"/>
    </font>
    <font>
      <b/>
      <sz val="16"/>
      <color rgb="FFFFFFFF"/>
      <name val="Arial"/>
      <family val="2"/>
    </font>
    <font>
      <sz val="50"/>
      <color theme="1"/>
      <name val="Aptos Narrow"/>
      <family val="2"/>
    </font>
    <font>
      <sz val="20"/>
      <color theme="1"/>
      <name val="Times New Roman"/>
      <family val="1"/>
    </font>
    <font>
      <sz val="16"/>
      <color theme="1"/>
      <name val="Times New Roman"/>
      <family val="1"/>
    </font>
  </fonts>
  <fills count="18">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theme="0" tint="-0.49995422223578601"/>
        <bgColor indexed="65"/>
      </patternFill>
    </fill>
    <fill>
      <patternFill patternType="solid">
        <fgColor rgb="FFFFFF00"/>
        <bgColor indexed="64"/>
      </patternFill>
    </fill>
    <fill>
      <patternFill patternType="solid">
        <fgColor theme="3" tint="0.249977111117893"/>
        <bgColor indexed="64"/>
      </patternFill>
    </fill>
    <fill>
      <patternFill patternType="solid">
        <fgColor rgb="FFE7E6E6"/>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5" tint="0.79998168889431442"/>
        <bgColor indexed="65"/>
      </patternFill>
    </fill>
    <fill>
      <patternFill patternType="solid">
        <fgColor theme="5" tint="0.79998168889431442"/>
        <bgColor indexed="64"/>
      </patternFill>
    </fill>
    <fill>
      <patternFill patternType="solid">
        <fgColor theme="5" tint="0.79998168889431442"/>
        <bgColor rgb="FF000000"/>
      </patternFill>
    </fill>
    <fill>
      <patternFill patternType="solid">
        <fgColor rgb="FFEADCF8"/>
      </patternFill>
    </fill>
    <fill>
      <patternFill patternType="solid">
        <fgColor rgb="FFF3F4F6"/>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right/>
      <top style="thin">
        <color indexed="64"/>
      </top>
      <bottom/>
      <diagonal/>
    </border>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s>
  <cellStyleXfs count="5">
    <xf numFmtId="0" fontId="0" fillId="0" borderId="4"/>
    <xf numFmtId="43" fontId="26" fillId="0" borderId="4"/>
    <xf numFmtId="9" fontId="26" fillId="0" borderId="4"/>
    <xf numFmtId="0" fontId="1" fillId="0" borderId="4"/>
    <xf numFmtId="9" fontId="26" fillId="0" borderId="4"/>
  </cellStyleXfs>
  <cellXfs count="287">
    <xf numFmtId="0" fontId="0" fillId="0" borderId="0" xfId="0" applyBorder="1"/>
    <xf numFmtId="0" fontId="0" fillId="0" borderId="0" xfId="0" applyBorder="1" applyAlignment="1">
      <alignment wrapText="1"/>
    </xf>
    <xf numFmtId="0" fontId="0" fillId="0" borderId="0" xfId="0" applyBorder="1" applyAlignment="1">
      <alignment vertical="top" wrapText="1"/>
    </xf>
    <xf numFmtId="0" fontId="5" fillId="0" borderId="0" xfId="0" applyFont="1" applyBorder="1"/>
    <xf numFmtId="164" fontId="5" fillId="0" borderId="0" xfId="2" applyNumberFormat="1" applyFont="1" applyBorder="1"/>
    <xf numFmtId="14" fontId="5" fillId="0" borderId="0" xfId="0" applyNumberFormat="1" applyFont="1" applyBorder="1"/>
    <xf numFmtId="0" fontId="6" fillId="0" borderId="4" xfId="0" applyFont="1"/>
    <xf numFmtId="0" fontId="5" fillId="0" borderId="4" xfId="0" applyFont="1"/>
    <xf numFmtId="0" fontId="6" fillId="0" borderId="4" xfId="0" applyFont="1" applyAlignment="1">
      <alignment horizontal="center" vertical="center"/>
    </xf>
    <xf numFmtId="43" fontId="5" fillId="0" borderId="7" xfId="0" applyNumberFormat="1" applyFont="1" applyBorder="1"/>
    <xf numFmtId="43" fontId="5" fillId="0" borderId="0" xfId="0" applyNumberFormat="1" applyFont="1" applyBorder="1"/>
    <xf numFmtId="0" fontId="5" fillId="0" borderId="7" xfId="0" applyFont="1" applyBorder="1"/>
    <xf numFmtId="0" fontId="5" fillId="0" borderId="8" xfId="0" applyFont="1" applyBorder="1"/>
    <xf numFmtId="0" fontId="6" fillId="0" borderId="0" xfId="0" applyFont="1" applyBorder="1"/>
    <xf numFmtId="9" fontId="5" fillId="0" borderId="0" xfId="0" applyNumberFormat="1" applyFont="1" applyBorder="1"/>
    <xf numFmtId="164" fontId="5" fillId="0" borderId="0" xfId="0" applyNumberFormat="1" applyFont="1" applyBorder="1"/>
    <xf numFmtId="0" fontId="6" fillId="0" borderId="0" xfId="0" applyFont="1" applyBorder="1" applyAlignment="1">
      <alignment horizontal="center"/>
    </xf>
    <xf numFmtId="0" fontId="5" fillId="0" borderId="0" xfId="0" applyFont="1" applyBorder="1" applyAlignment="1">
      <alignment wrapText="1"/>
    </xf>
    <xf numFmtId="0" fontId="9" fillId="0" borderId="0" xfId="0" applyFont="1" applyBorder="1" applyAlignment="1">
      <alignment wrapText="1"/>
    </xf>
    <xf numFmtId="0" fontId="9" fillId="0" borderId="0" xfId="0" applyFont="1" applyBorder="1" applyAlignment="1">
      <alignment vertical="center" wrapText="1"/>
    </xf>
    <xf numFmtId="43" fontId="9" fillId="0" borderId="0" xfId="1" applyFont="1" applyBorder="1" applyAlignment="1">
      <alignment wrapText="1"/>
    </xf>
    <xf numFmtId="0" fontId="10" fillId="7" borderId="4" xfId="0" applyFont="1" applyFill="1" applyAlignment="1">
      <alignment horizontal="center" vertical="center"/>
    </xf>
    <xf numFmtId="0" fontId="11" fillId="0" borderId="0" xfId="0" applyFont="1" applyBorder="1"/>
    <xf numFmtId="0" fontId="9" fillId="7" borderId="0" xfId="0" applyFont="1" applyFill="1" applyBorder="1"/>
    <xf numFmtId="0" fontId="9" fillId="0" borderId="0" xfId="0" applyFont="1" applyBorder="1"/>
    <xf numFmtId="0" fontId="9" fillId="0" borderId="4" xfId="0" applyFont="1"/>
    <xf numFmtId="0" fontId="9" fillId="7" borderId="4" xfId="0" applyFont="1" applyFill="1" applyAlignment="1">
      <alignment wrapText="1"/>
    </xf>
    <xf numFmtId="0" fontId="9" fillId="7" borderId="4" xfId="0" applyFont="1" applyFill="1"/>
    <xf numFmtId="0" fontId="9" fillId="0" borderId="4" xfId="0" applyFont="1" applyAlignment="1">
      <alignment vertical="center" wrapText="1"/>
    </xf>
    <xf numFmtId="0" fontId="9" fillId="0" borderId="4" xfId="0" applyFont="1" applyAlignment="1">
      <alignment wrapText="1"/>
    </xf>
    <xf numFmtId="0" fontId="14" fillId="7" borderId="0" xfId="0" applyFont="1" applyFill="1" applyBorder="1" applyAlignment="1">
      <alignment vertical="center" wrapText="1"/>
    </xf>
    <xf numFmtId="0" fontId="14" fillId="7" borderId="4" xfId="0" applyFont="1" applyFill="1" applyAlignment="1">
      <alignment vertical="center" wrapText="1"/>
    </xf>
    <xf numFmtId="0" fontId="16" fillId="0" borderId="0" xfId="0" applyFont="1" applyBorder="1" applyAlignment="1">
      <alignment wrapText="1"/>
    </xf>
    <xf numFmtId="0" fontId="16" fillId="0" borderId="1" xfId="0" applyFont="1" applyBorder="1" applyAlignment="1">
      <alignment wrapText="1"/>
    </xf>
    <xf numFmtId="0" fontId="17" fillId="4" borderId="1" xfId="0" applyFont="1" applyFill="1" applyBorder="1" applyAlignment="1">
      <alignment wrapText="1"/>
    </xf>
    <xf numFmtId="0" fontId="16" fillId="0" borderId="0" xfId="0" applyFont="1" applyBorder="1" applyAlignment="1">
      <alignment vertical="top" wrapText="1"/>
    </xf>
    <xf numFmtId="0" fontId="19" fillId="0" borderId="0" xfId="0" applyFont="1" applyBorder="1"/>
    <xf numFmtId="0" fontId="16" fillId="0" borderId="1" xfId="0" applyFont="1" applyBorder="1"/>
    <xf numFmtId="0" fontId="17" fillId="0" borderId="1" xfId="0" applyFont="1" applyBorder="1" applyAlignment="1">
      <alignment horizontal="center" wrapText="1"/>
    </xf>
    <xf numFmtId="0" fontId="17" fillId="0" borderId="1" xfId="0" applyFont="1" applyBorder="1" applyAlignment="1">
      <alignment horizontal="center"/>
    </xf>
    <xf numFmtId="0" fontId="17" fillId="0" borderId="1" xfId="0" applyFont="1" applyBorder="1"/>
    <xf numFmtId="0" fontId="17" fillId="0" borderId="1" xfId="0" applyFont="1" applyBorder="1" applyAlignment="1">
      <alignment wrapText="1"/>
    </xf>
    <xf numFmtId="0" fontId="16" fillId="0" borderId="0" xfId="0" applyFont="1" applyBorder="1"/>
    <xf numFmtId="165" fontId="20" fillId="0" borderId="1" xfId="0" applyNumberFormat="1" applyFont="1" applyBorder="1"/>
    <xf numFmtId="165" fontId="20" fillId="0" borderId="1" xfId="0" applyNumberFormat="1" applyFont="1" applyBorder="1" applyAlignment="1">
      <alignment wrapText="1"/>
    </xf>
    <xf numFmtId="165" fontId="21" fillId="0" borderId="1" xfId="0" applyNumberFormat="1" applyFont="1" applyBorder="1"/>
    <xf numFmtId="165" fontId="15" fillId="4" borderId="1" xfId="0" applyNumberFormat="1" applyFont="1" applyFill="1" applyBorder="1"/>
    <xf numFmtId="165" fontId="21" fillId="0" borderId="14" xfId="0" applyNumberFormat="1" applyFont="1" applyBorder="1"/>
    <xf numFmtId="0" fontId="17" fillId="0" borderId="1" xfId="0" applyFont="1" applyBorder="1" applyAlignment="1">
      <alignment horizontal="left"/>
    </xf>
    <xf numFmtId="0" fontId="17" fillId="0" borderId="14" xfId="0" applyFont="1" applyBorder="1" applyAlignment="1">
      <alignment horizontal="left"/>
    </xf>
    <xf numFmtId="0" fontId="17" fillId="0" borderId="14" xfId="0" applyFont="1" applyBorder="1" applyAlignment="1">
      <alignment wrapText="1"/>
    </xf>
    <xf numFmtId="0" fontId="17" fillId="4" borderId="1" xfId="0" applyFont="1" applyFill="1" applyBorder="1" applyAlignment="1">
      <alignment horizontal="left"/>
    </xf>
    <xf numFmtId="165" fontId="20" fillId="0" borderId="0" xfId="0" applyNumberFormat="1" applyFont="1" applyBorder="1"/>
    <xf numFmtId="0" fontId="17" fillId="4" borderId="0" xfId="0" applyFont="1" applyFill="1" applyBorder="1"/>
    <xf numFmtId="0" fontId="17" fillId="4" borderId="0" xfId="0" applyFont="1" applyFill="1" applyBorder="1" applyAlignment="1">
      <alignment wrapText="1"/>
    </xf>
    <xf numFmtId="165" fontId="15" fillId="4" borderId="0" xfId="0" applyNumberFormat="1" applyFont="1" applyFill="1" applyBorder="1"/>
    <xf numFmtId="0" fontId="17" fillId="0" borderId="0" xfId="0" applyFont="1" applyBorder="1"/>
    <xf numFmtId="0" fontId="17" fillId="0" borderId="0" xfId="0" applyFont="1" applyBorder="1" applyAlignment="1">
      <alignment wrapText="1"/>
    </xf>
    <xf numFmtId="0" fontId="5" fillId="0" borderId="6" xfId="0" applyFont="1" applyBorder="1"/>
    <xf numFmtId="166" fontId="16" fillId="11" borderId="0" xfId="1" applyNumberFormat="1" applyFont="1" applyFill="1" applyBorder="1"/>
    <xf numFmtId="0" fontId="16" fillId="0" borderId="7" xfId="0" applyFont="1" applyBorder="1"/>
    <xf numFmtId="166" fontId="16" fillId="0" borderId="0" xfId="1" applyNumberFormat="1" applyFont="1" applyBorder="1"/>
    <xf numFmtId="166" fontId="16" fillId="0" borderId="7" xfId="1" applyNumberFormat="1" applyFont="1" applyBorder="1"/>
    <xf numFmtId="0" fontId="16" fillId="0" borderId="7" xfId="0" applyFont="1" applyBorder="1" applyAlignment="1">
      <alignment wrapText="1"/>
    </xf>
    <xf numFmtId="166" fontId="16" fillId="11" borderId="5" xfId="1" applyNumberFormat="1" applyFont="1" applyFill="1" applyBorder="1"/>
    <xf numFmtId="0" fontId="16" fillId="0" borderId="14" xfId="0" applyFont="1" applyBorder="1"/>
    <xf numFmtId="0" fontId="16" fillId="10" borderId="0" xfId="0" applyFont="1" applyFill="1" applyBorder="1"/>
    <xf numFmtId="0" fontId="16" fillId="5" borderId="0" xfId="0" applyFont="1" applyFill="1" applyBorder="1"/>
    <xf numFmtId="43" fontId="16" fillId="0" borderId="0" xfId="0" applyNumberFormat="1" applyFont="1" applyBorder="1"/>
    <xf numFmtId="0" fontId="14" fillId="0" borderId="4" xfId="0" applyFont="1" applyAlignment="1">
      <alignment vertical="center" wrapText="1"/>
    </xf>
    <xf numFmtId="0" fontId="6" fillId="0" borderId="4" xfId="0" applyFont="1" applyAlignment="1">
      <alignment horizontal="center"/>
    </xf>
    <xf numFmtId="0" fontId="10" fillId="0" borderId="4" xfId="0" applyFont="1" applyAlignment="1">
      <alignment horizontal="center"/>
    </xf>
    <xf numFmtId="0" fontId="8" fillId="0" borderId="4" xfId="0" applyFont="1" applyAlignment="1">
      <alignment horizontal="center" wrapText="1"/>
    </xf>
    <xf numFmtId="166" fontId="16" fillId="11" borderId="0" xfId="0" applyNumberFormat="1" applyFont="1" applyFill="1" applyBorder="1"/>
    <xf numFmtId="166" fontId="16" fillId="0" borderId="0" xfId="0" applyNumberFormat="1" applyFont="1" applyBorder="1"/>
    <xf numFmtId="166" fontId="16" fillId="11" borderId="4" xfId="0" applyNumberFormat="1" applyFont="1" applyFill="1"/>
    <xf numFmtId="166" fontId="16" fillId="11" borderId="5" xfId="0" applyNumberFormat="1" applyFont="1" applyFill="1" applyBorder="1"/>
    <xf numFmtId="166" fontId="16" fillId="11" borderId="4" xfId="1" applyNumberFormat="1" applyFont="1" applyFill="1"/>
    <xf numFmtId="43" fontId="16" fillId="11" borderId="16" xfId="1" applyFont="1" applyFill="1" applyBorder="1"/>
    <xf numFmtId="4" fontId="17" fillId="11" borderId="1" xfId="0" applyNumberFormat="1" applyFont="1" applyFill="1" applyBorder="1"/>
    <xf numFmtId="4" fontId="16" fillId="11" borderId="1" xfId="0" applyNumberFormat="1" applyFont="1" applyFill="1" applyBorder="1"/>
    <xf numFmtId="0" fontId="16" fillId="11" borderId="1" xfId="0" applyFont="1" applyFill="1" applyBorder="1" applyAlignment="1">
      <alignment horizontal="center"/>
    </xf>
    <xf numFmtId="164" fontId="16" fillId="11" borderId="1" xfId="2" applyNumberFormat="1" applyFont="1" applyFill="1" applyBorder="1" applyAlignment="1">
      <alignment horizontal="center"/>
    </xf>
    <xf numFmtId="0" fontId="16" fillId="11" borderId="1" xfId="0" applyFont="1" applyFill="1" applyBorder="1"/>
    <xf numFmtId="0" fontId="16" fillId="0" borderId="9" xfId="0" applyFont="1" applyBorder="1"/>
    <xf numFmtId="0" fontId="16" fillId="0" borderId="4" xfId="0" applyFont="1"/>
    <xf numFmtId="166" fontId="16" fillId="0" borderId="4" xfId="1" applyNumberFormat="1" applyFont="1"/>
    <xf numFmtId="9" fontId="23" fillId="0" borderId="0" xfId="0" applyNumberFormat="1" applyFont="1" applyBorder="1"/>
    <xf numFmtId="9" fontId="23" fillId="0" borderId="4" xfId="0" applyNumberFormat="1" applyFont="1"/>
    <xf numFmtId="0" fontId="16" fillId="0" borderId="0" xfId="0" applyFont="1" applyBorder="1" applyAlignment="1">
      <alignment horizontal="center"/>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18" fillId="13" borderId="1" xfId="0" applyFont="1" applyFill="1" applyBorder="1" applyAlignment="1">
      <alignment horizontal="center" vertical="center" wrapText="1"/>
    </xf>
    <xf numFmtId="0" fontId="18" fillId="13" borderId="1" xfId="0" applyFont="1" applyFill="1" applyBorder="1" applyAlignment="1">
      <alignment horizontal="center" vertical="center"/>
    </xf>
    <xf numFmtId="0" fontId="10" fillId="13" borderId="1" xfId="0" applyFont="1" applyFill="1" applyBorder="1" applyAlignment="1">
      <alignment horizontal="center" vertical="center"/>
    </xf>
    <xf numFmtId="0" fontId="18" fillId="13" borderId="4" xfId="0" applyFont="1" applyFill="1" applyAlignment="1">
      <alignment horizontal="center" vertical="center" wrapText="1"/>
    </xf>
    <xf numFmtId="0" fontId="13" fillId="12" borderId="0" xfId="0" applyFont="1" applyFill="1" applyBorder="1" applyAlignment="1">
      <alignment horizontal="center" vertical="center"/>
    </xf>
    <xf numFmtId="0" fontId="13" fillId="12" borderId="0" xfId="0" applyFont="1" applyFill="1" applyBorder="1" applyAlignment="1">
      <alignment horizontal="center" vertical="center" wrapText="1"/>
    </xf>
    <xf numFmtId="0" fontId="18" fillId="14" borderId="4" xfId="0" applyFont="1" applyFill="1" applyAlignment="1">
      <alignment horizontal="center" vertical="center" wrapText="1"/>
    </xf>
    <xf numFmtId="0" fontId="13" fillId="13" borderId="0" xfId="0" applyFont="1" applyFill="1" applyBorder="1" applyAlignment="1">
      <alignment horizontal="center" vertical="center"/>
    </xf>
    <xf numFmtId="0" fontId="13" fillId="13" borderId="0" xfId="0" applyFont="1" applyFill="1" applyBorder="1" applyAlignment="1">
      <alignment horizontal="center" vertical="center" wrapText="1"/>
    </xf>
    <xf numFmtId="0" fontId="8" fillId="13" borderId="0" xfId="0" applyFont="1" applyFill="1" applyBorder="1" applyAlignment="1">
      <alignment horizontal="center" wrapText="1"/>
    </xf>
    <xf numFmtId="0" fontId="6" fillId="9" borderId="1" xfId="0" applyFont="1" applyFill="1" applyBorder="1" applyAlignment="1">
      <alignment horizontal="center"/>
    </xf>
    <xf numFmtId="0" fontId="10" fillId="9" borderId="1" xfId="0" applyFont="1" applyFill="1" applyBorder="1" applyAlignment="1">
      <alignment horizontal="center"/>
    </xf>
    <xf numFmtId="0" fontId="8" fillId="13" borderId="13" xfId="0" applyFont="1" applyFill="1" applyBorder="1" applyAlignment="1">
      <alignment horizontal="center" vertical="center" wrapText="1"/>
    </xf>
    <xf numFmtId="0" fontId="8" fillId="13" borderId="11"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8" fillId="13" borderId="13" xfId="0" applyFont="1" applyFill="1" applyBorder="1" applyAlignment="1">
      <alignment horizontal="center" vertical="center"/>
    </xf>
    <xf numFmtId="0" fontId="10" fillId="9" borderId="1" xfId="0" applyFont="1" applyFill="1" applyBorder="1"/>
    <xf numFmtId="0" fontId="7" fillId="13" borderId="1" xfId="0" applyFont="1" applyFill="1" applyBorder="1" applyAlignment="1">
      <alignment horizontal="center"/>
    </xf>
    <xf numFmtId="0" fontId="6" fillId="13" borderId="1" xfId="0" applyFont="1" applyFill="1" applyBorder="1"/>
    <xf numFmtId="0" fontId="6" fillId="13" borderId="1" xfId="0" applyFont="1" applyFill="1" applyBorder="1" applyAlignment="1">
      <alignment horizontal="center"/>
    </xf>
    <xf numFmtId="0" fontId="8" fillId="13" borderId="1" xfId="0" applyFont="1" applyFill="1" applyBorder="1" applyAlignment="1">
      <alignment horizontal="center" vertical="center"/>
    </xf>
    <xf numFmtId="0" fontId="8" fillId="13" borderId="11" xfId="0" applyFont="1" applyFill="1" applyBorder="1" applyAlignment="1">
      <alignment horizontal="center" vertical="center"/>
    </xf>
    <xf numFmtId="0" fontId="6" fillId="11" borderId="1" xfId="0" applyFont="1" applyFill="1" applyBorder="1" applyAlignment="1">
      <alignment horizontal="center"/>
    </xf>
    <xf numFmtId="0" fontId="6" fillId="11" borderId="1" xfId="0" applyFont="1" applyFill="1" applyBorder="1"/>
    <xf numFmtId="166" fontId="16" fillId="10" borderId="9" xfId="1" applyNumberFormat="1" applyFont="1" applyFill="1" applyBorder="1"/>
    <xf numFmtId="167" fontId="6" fillId="9" borderId="1" xfId="3" applyNumberFormat="1" applyFont="1" applyFill="1" applyBorder="1" applyAlignment="1">
      <alignment horizontal="center"/>
    </xf>
    <xf numFmtId="166" fontId="16" fillId="10" borderId="9" xfId="0" applyNumberFormat="1" applyFont="1" applyFill="1" applyBorder="1"/>
    <xf numFmtId="166" fontId="16" fillId="0" borderId="9" xfId="1" applyNumberFormat="1" applyFont="1" applyBorder="1"/>
    <xf numFmtId="0" fontId="13" fillId="13" borderId="11" xfId="0" applyFont="1" applyFill="1" applyBorder="1" applyAlignment="1">
      <alignment horizontal="center" vertical="center" wrapText="1"/>
    </xf>
    <xf numFmtId="0" fontId="13" fillId="13" borderId="13" xfId="0" applyFont="1" applyFill="1" applyBorder="1" applyAlignment="1">
      <alignment horizontal="center" vertical="center" wrapText="1"/>
    </xf>
    <xf numFmtId="0" fontId="8" fillId="0" borderId="0" xfId="0" applyFont="1" applyBorder="1" applyAlignment="1">
      <alignment horizontal="center" wrapText="1"/>
    </xf>
    <xf numFmtId="0" fontId="13" fillId="0" borderId="11" xfId="0" applyFont="1" applyBorder="1" applyAlignment="1">
      <alignment horizontal="center" vertical="center" wrapText="1"/>
    </xf>
    <xf numFmtId="164" fontId="16" fillId="0" borderId="3" xfId="2" applyNumberFormat="1" applyFont="1" applyBorder="1" applyAlignment="1">
      <alignment horizontal="right"/>
    </xf>
    <xf numFmtId="164" fontId="16" fillId="0" borderId="4" xfId="2" applyNumberFormat="1" applyFont="1" applyAlignment="1">
      <alignment horizontal="right"/>
    </xf>
    <xf numFmtId="0" fontId="12" fillId="7" borderId="4" xfId="0" applyFont="1" applyFill="1" applyAlignment="1">
      <alignment horizontal="left" vertical="center"/>
    </xf>
    <xf numFmtId="0" fontId="0" fillId="0" borderId="4" xfId="0"/>
    <xf numFmtId="0" fontId="5" fillId="0" borderId="15" xfId="0" applyFont="1" applyBorder="1"/>
    <xf numFmtId="39" fontId="16" fillId="0" borderId="15" xfId="0" applyNumberFormat="1" applyFont="1" applyBorder="1" applyAlignment="1">
      <alignment wrapText="1"/>
    </xf>
    <xf numFmtId="166" fontId="5" fillId="0" borderId="0" xfId="0" applyNumberFormat="1" applyFont="1" applyBorder="1"/>
    <xf numFmtId="43" fontId="2" fillId="0" borderId="4" xfId="1" applyFont="1"/>
    <xf numFmtId="166" fontId="16" fillId="0" borderId="0" xfId="1" applyNumberFormat="1" applyFont="1" applyBorder="1" applyAlignment="1">
      <alignment horizontal="right"/>
    </xf>
    <xf numFmtId="166" fontId="16" fillId="0" borderId="4" xfId="1" applyNumberFormat="1" applyFont="1" applyAlignment="1">
      <alignment horizontal="right"/>
    </xf>
    <xf numFmtId="166" fontId="16" fillId="0" borderId="3" xfId="1" applyNumberFormat="1" applyFont="1" applyBorder="1" applyAlignment="1">
      <alignment horizontal="right"/>
    </xf>
    <xf numFmtId="166" fontId="17" fillId="0" borderId="9" xfId="1" applyNumberFormat="1" applyFont="1" applyBorder="1" applyAlignment="1">
      <alignment horizontal="right"/>
    </xf>
    <xf numFmtId="166" fontId="16" fillId="0" borderId="0" xfId="0" applyNumberFormat="1" applyFont="1" applyBorder="1" applyAlignment="1">
      <alignment wrapText="1"/>
    </xf>
    <xf numFmtId="0" fontId="22" fillId="0" borderId="1" xfId="0" applyFont="1" applyBorder="1" applyAlignment="1">
      <alignment vertical="center"/>
    </xf>
    <xf numFmtId="0" fontId="15" fillId="3" borderId="1" xfId="0" applyFont="1" applyFill="1" applyBorder="1" applyAlignment="1">
      <alignment vertical="center"/>
    </xf>
    <xf numFmtId="0" fontId="22" fillId="0" borderId="4" xfId="0" applyFont="1"/>
    <xf numFmtId="0" fontId="24" fillId="0" borderId="4" xfId="0" applyFont="1"/>
    <xf numFmtId="0" fontId="24" fillId="8" borderId="4" xfId="0" applyFont="1" applyFill="1"/>
    <xf numFmtId="0" fontId="24" fillId="10" borderId="4" xfId="0" applyFont="1" applyFill="1"/>
    <xf numFmtId="0" fontId="24" fillId="9" borderId="4" xfId="0" applyFont="1" applyFill="1"/>
    <xf numFmtId="0" fontId="9" fillId="6" borderId="4" xfId="0" applyFont="1" applyFill="1"/>
    <xf numFmtId="0" fontId="9" fillId="13" borderId="4" xfId="0" applyFont="1" applyFill="1"/>
    <xf numFmtId="0" fontId="22" fillId="0" borderId="4" xfId="0" applyFont="1" applyAlignment="1">
      <alignment vertical="center"/>
    </xf>
    <xf numFmtId="0" fontId="12" fillId="2" borderId="4" xfId="0" applyFont="1" applyFill="1" applyAlignment="1">
      <alignment horizontal="center" vertical="center"/>
    </xf>
    <xf numFmtId="0" fontId="17" fillId="0" borderId="19" xfId="0" applyFont="1" applyBorder="1" applyAlignment="1">
      <alignment horizontal="left"/>
    </xf>
    <xf numFmtId="0" fontId="17" fillId="0" borderId="19" xfId="0" applyFont="1" applyBorder="1" applyAlignment="1">
      <alignment wrapText="1"/>
    </xf>
    <xf numFmtId="165" fontId="20" fillId="0" borderId="19" xfId="0" applyNumberFormat="1" applyFont="1" applyBorder="1"/>
    <xf numFmtId="165" fontId="20" fillId="0" borderId="19" xfId="0" applyNumberFormat="1" applyFont="1" applyBorder="1" applyAlignment="1">
      <alignment wrapText="1"/>
    </xf>
    <xf numFmtId="0" fontId="20" fillId="0" borderId="1" xfId="0" applyFont="1" applyBorder="1"/>
    <xf numFmtId="0" fontId="17" fillId="0" borderId="7" xfId="0" applyFont="1" applyBorder="1" applyAlignment="1">
      <alignment horizontal="left"/>
    </xf>
    <xf numFmtId="0" fontId="17" fillId="0" borderId="10" xfId="0" applyFont="1" applyBorder="1" applyAlignment="1">
      <alignment horizontal="left"/>
    </xf>
    <xf numFmtId="0" fontId="17" fillId="0" borderId="1" xfId="0" applyFont="1" applyBorder="1" applyAlignment="1">
      <alignment horizontal="left" wrapText="1"/>
    </xf>
    <xf numFmtId="0" fontId="17" fillId="0" borderId="15" xfId="0" applyFont="1" applyBorder="1" applyAlignment="1">
      <alignment horizontal="left"/>
    </xf>
    <xf numFmtId="0" fontId="17" fillId="0" borderId="18" xfId="0" applyFont="1" applyBorder="1" applyAlignment="1">
      <alignment horizontal="left"/>
    </xf>
    <xf numFmtId="0" fontId="17" fillId="0" borderId="4" xfId="0" applyFont="1" applyAlignment="1">
      <alignment horizontal="center"/>
    </xf>
    <xf numFmtId="170" fontId="22" fillId="8" borderId="1" xfId="0" applyNumberFormat="1" applyFont="1" applyFill="1" applyBorder="1" applyAlignment="1">
      <alignment horizontal="left" vertical="center"/>
    </xf>
    <xf numFmtId="170" fontId="15" fillId="3" borderId="1" xfId="0" applyNumberFormat="1" applyFont="1" applyFill="1" applyBorder="1" applyAlignment="1">
      <alignment horizontal="left" vertical="center"/>
    </xf>
    <xf numFmtId="171" fontId="15" fillId="3" borderId="1" xfId="0" applyNumberFormat="1" applyFont="1" applyFill="1" applyBorder="1" applyAlignment="1">
      <alignment horizontal="left" vertical="center"/>
    </xf>
    <xf numFmtId="0" fontId="22" fillId="15" borderId="1" xfId="0" applyFont="1" applyFill="1" applyBorder="1" applyAlignment="1">
      <alignment horizontal="left" vertical="center"/>
    </xf>
    <xf numFmtId="0" fontId="15" fillId="3" borderId="1" xfId="0" applyFont="1" applyFill="1" applyBorder="1" applyAlignment="1">
      <alignment horizontal="left" vertical="center"/>
    </xf>
    <xf numFmtId="172" fontId="22" fillId="0" borderId="1" xfId="0" applyNumberFormat="1" applyFont="1" applyBorder="1" applyAlignment="1">
      <alignment horizontal="left" vertical="center"/>
    </xf>
    <xf numFmtId="171" fontId="22" fillId="8" borderId="1" xfId="0" applyNumberFormat="1" applyFont="1" applyFill="1" applyBorder="1" applyAlignment="1">
      <alignment horizontal="left" vertical="center"/>
    </xf>
    <xf numFmtId="0" fontId="28" fillId="2" borderId="4" xfId="0" applyFont="1" applyFill="1" applyAlignment="1">
      <alignment horizontal="center" vertical="center"/>
    </xf>
    <xf numFmtId="0" fontId="12" fillId="2" borderId="4" xfId="0" applyFont="1" applyFill="1" applyAlignment="1">
      <alignment vertical="center"/>
    </xf>
    <xf numFmtId="170" fontId="12" fillId="2" borderId="4" xfId="0" applyNumberFormat="1" applyFont="1" applyFill="1" applyAlignment="1">
      <alignment horizontal="left" vertical="center"/>
    </xf>
    <xf numFmtId="171" fontId="12" fillId="2" borderId="4" xfId="0" applyNumberFormat="1" applyFont="1" applyFill="1" applyAlignment="1">
      <alignment horizontal="left" vertical="center"/>
    </xf>
    <xf numFmtId="0" fontId="4" fillId="3" borderId="1" xfId="0" applyFont="1" applyFill="1" applyBorder="1" applyAlignment="1">
      <alignment horizontal="center" vertical="center" wrapText="1"/>
    </xf>
    <xf numFmtId="0" fontId="0" fillId="0" borderId="1" xfId="0" applyBorder="1" applyAlignment="1">
      <alignment vertical="top" wrapText="1"/>
    </xf>
    <xf numFmtId="165" fontId="16" fillId="0" borderId="1" xfId="0" applyNumberFormat="1" applyFont="1" applyBorder="1" applyAlignment="1">
      <alignment wrapText="1"/>
    </xf>
    <xf numFmtId="165" fontId="17" fillId="0" borderId="1" xfId="0" applyNumberFormat="1" applyFont="1" applyBorder="1" applyAlignment="1">
      <alignment wrapText="1"/>
    </xf>
    <xf numFmtId="165" fontId="16" fillId="0" borderId="0" xfId="1" applyNumberFormat="1" applyFont="1" applyBorder="1" applyAlignment="1">
      <alignment wrapText="1"/>
    </xf>
    <xf numFmtId="165" fontId="16" fillId="0" borderId="2" xfId="1" applyNumberFormat="1" applyFont="1" applyBorder="1" applyAlignment="1">
      <alignment wrapText="1"/>
    </xf>
    <xf numFmtId="165" fontId="16" fillId="0" borderId="3" xfId="1" applyNumberFormat="1" applyFont="1" applyBorder="1" applyAlignment="1">
      <alignment wrapText="1"/>
    </xf>
    <xf numFmtId="174" fontId="16" fillId="0" borderId="11" xfId="2" applyNumberFormat="1" applyFont="1" applyBorder="1" applyAlignment="1">
      <alignment wrapText="1"/>
    </xf>
    <xf numFmtId="170" fontId="16" fillId="10" borderId="0" xfId="0" applyNumberFormat="1" applyFont="1" applyFill="1" applyBorder="1"/>
    <xf numFmtId="174" fontId="16" fillId="10" borderId="0" xfId="2" applyNumberFormat="1" applyFont="1" applyFill="1" applyBorder="1"/>
    <xf numFmtId="174" fontId="16" fillId="9" borderId="0" xfId="2" applyNumberFormat="1" applyFont="1" applyFill="1" applyBorder="1"/>
    <xf numFmtId="174" fontId="16" fillId="9" borderId="0" xfId="0" applyNumberFormat="1" applyFont="1" applyFill="1" applyBorder="1"/>
    <xf numFmtId="170" fontId="16" fillId="10" borderId="0" xfId="1" applyNumberFormat="1" applyFont="1" applyFill="1" applyBorder="1"/>
    <xf numFmtId="174" fontId="16" fillId="11" borderId="0" xfId="0" applyNumberFormat="1" applyFont="1" applyFill="1" applyBorder="1"/>
    <xf numFmtId="170" fontId="16" fillId="11" borderId="0" xfId="0" applyNumberFormat="1" applyFont="1" applyFill="1" applyBorder="1"/>
    <xf numFmtId="174" fontId="16" fillId="11" borderId="0" xfId="2" applyNumberFormat="1" applyFont="1" applyFill="1" applyBorder="1"/>
    <xf numFmtId="170" fontId="16" fillId="10" borderId="0" xfId="2" applyNumberFormat="1" applyFont="1" applyFill="1" applyBorder="1"/>
    <xf numFmtId="170" fontId="16" fillId="11" borderId="0" xfId="1" applyNumberFormat="1" applyFont="1" applyFill="1" applyBorder="1" applyAlignment="1">
      <alignment horizontal="right"/>
    </xf>
    <xf numFmtId="170" fontId="16" fillId="11" borderId="7" xfId="1" applyNumberFormat="1" applyFont="1" applyFill="1" applyBorder="1" applyAlignment="1">
      <alignment horizontal="right"/>
    </xf>
    <xf numFmtId="170" fontId="16" fillId="11" borderId="4" xfId="1" applyNumberFormat="1" applyFont="1" applyFill="1" applyAlignment="1">
      <alignment horizontal="right"/>
    </xf>
    <xf numFmtId="174" fontId="16" fillId="11" borderId="3" xfId="2" applyNumberFormat="1" applyFont="1" applyFill="1" applyBorder="1" applyAlignment="1">
      <alignment horizontal="right"/>
    </xf>
    <xf numFmtId="174" fontId="16" fillId="11" borderId="12" xfId="2" applyNumberFormat="1" applyFont="1" applyFill="1" applyBorder="1" applyAlignment="1">
      <alignment horizontal="right"/>
    </xf>
    <xf numFmtId="170" fontId="16" fillId="11" borderId="3" xfId="1" applyNumberFormat="1" applyFont="1" applyFill="1" applyBorder="1" applyAlignment="1">
      <alignment horizontal="right"/>
    </xf>
    <xf numFmtId="170" fontId="16" fillId="11" borderId="12" xfId="1" applyNumberFormat="1" applyFont="1" applyFill="1" applyBorder="1" applyAlignment="1">
      <alignment horizontal="right"/>
    </xf>
    <xf numFmtId="174" fontId="16" fillId="11" borderId="4" xfId="2" applyNumberFormat="1" applyFont="1" applyFill="1" applyAlignment="1">
      <alignment horizontal="right"/>
    </xf>
    <xf numFmtId="174" fontId="16" fillId="11" borderId="7" xfId="2" applyNumberFormat="1" applyFont="1" applyFill="1" applyBorder="1" applyAlignment="1">
      <alignment horizontal="right"/>
    </xf>
    <xf numFmtId="170" fontId="17" fillId="10" borderId="9" xfId="1" applyNumberFormat="1" applyFont="1" applyFill="1" applyBorder="1" applyAlignment="1">
      <alignment horizontal="right"/>
    </xf>
    <xf numFmtId="170" fontId="17" fillId="10" borderId="10" xfId="1" applyNumberFormat="1" applyFont="1" applyFill="1" applyBorder="1" applyAlignment="1">
      <alignment horizontal="right"/>
    </xf>
    <xf numFmtId="170" fontId="16" fillId="11" borderId="0" xfId="1" applyNumberFormat="1" applyFont="1" applyFill="1" applyBorder="1"/>
    <xf numFmtId="170" fontId="16" fillId="11" borderId="7" xfId="1" applyNumberFormat="1" applyFont="1" applyFill="1" applyBorder="1"/>
    <xf numFmtId="168" fontId="16" fillId="11" borderId="0" xfId="1" applyNumberFormat="1" applyFont="1" applyFill="1" applyBorder="1"/>
    <xf numFmtId="168" fontId="16" fillId="11" borderId="7" xfId="1" applyNumberFormat="1" applyFont="1" applyFill="1" applyBorder="1"/>
    <xf numFmtId="170" fontId="16" fillId="11" borderId="5" xfId="1" applyNumberFormat="1" applyFont="1" applyFill="1" applyBorder="1"/>
    <xf numFmtId="170" fontId="16" fillId="11" borderId="8" xfId="1" applyNumberFormat="1" applyFont="1" applyFill="1" applyBorder="1"/>
    <xf numFmtId="170" fontId="16" fillId="10" borderId="9" xfId="1" applyNumberFormat="1" applyFont="1" applyFill="1" applyBorder="1"/>
    <xf numFmtId="170" fontId="16" fillId="11" borderId="4" xfId="0" applyNumberFormat="1" applyFont="1" applyFill="1"/>
    <xf numFmtId="170" fontId="16" fillId="11" borderId="12" xfId="0" applyNumberFormat="1" applyFont="1" applyFill="1" applyBorder="1"/>
    <xf numFmtId="170" fontId="16" fillId="11" borderId="17" xfId="0" applyNumberFormat="1" applyFont="1" applyFill="1" applyBorder="1"/>
    <xf numFmtId="170" fontId="16" fillId="11" borderId="5" xfId="0" applyNumberFormat="1" applyFont="1" applyFill="1" applyBorder="1"/>
    <xf numFmtId="170" fontId="16" fillId="11" borderId="8" xfId="0" applyNumberFormat="1" applyFont="1" applyFill="1" applyBorder="1"/>
    <xf numFmtId="170" fontId="16" fillId="11" borderId="7" xfId="0" applyNumberFormat="1" applyFont="1" applyFill="1" applyBorder="1"/>
    <xf numFmtId="170" fontId="16" fillId="11" borderId="4" xfId="1" applyNumberFormat="1" applyFont="1" applyFill="1"/>
    <xf numFmtId="170" fontId="16" fillId="0" borderId="9" xfId="0" applyNumberFormat="1" applyFont="1" applyBorder="1"/>
    <xf numFmtId="170" fontId="16" fillId="10" borderId="9" xfId="0" applyNumberFormat="1" applyFont="1" applyFill="1" applyBorder="1"/>
    <xf numFmtId="170" fontId="16" fillId="10" borderId="10" xfId="0" applyNumberFormat="1" applyFont="1" applyFill="1" applyBorder="1"/>
    <xf numFmtId="174" fontId="16" fillId="11" borderId="16" xfId="2" applyNumberFormat="1" applyFont="1" applyFill="1" applyBorder="1"/>
    <xf numFmtId="174" fontId="16" fillId="11" borderId="1" xfId="2" applyNumberFormat="1" applyFont="1" applyFill="1" applyBorder="1" applyAlignment="1">
      <alignment horizontal="center"/>
    </xf>
    <xf numFmtId="174" fontId="16" fillId="11" borderId="16" xfId="0" applyNumberFormat="1" applyFont="1" applyFill="1" applyBorder="1"/>
    <xf numFmtId="174" fontId="16" fillId="10" borderId="16" xfId="2" applyNumberFormat="1" applyFont="1" applyFill="1" applyBorder="1"/>
    <xf numFmtId="169" fontId="17" fillId="11" borderId="1" xfId="0" applyNumberFormat="1" applyFont="1" applyFill="1" applyBorder="1"/>
    <xf numFmtId="170" fontId="17" fillId="11" borderId="1" xfId="0" applyNumberFormat="1" applyFont="1" applyFill="1" applyBorder="1"/>
    <xf numFmtId="170" fontId="17" fillId="11" borderId="13" xfId="0" applyNumberFormat="1" applyFont="1" applyFill="1" applyBorder="1"/>
    <xf numFmtId="174" fontId="6" fillId="11" borderId="1" xfId="2" applyNumberFormat="1" applyFont="1" applyFill="1" applyBorder="1" applyAlignment="1">
      <alignment horizontal="center"/>
    </xf>
    <xf numFmtId="174" fontId="6" fillId="9" borderId="1" xfId="2" applyNumberFormat="1" applyFont="1" applyFill="1" applyBorder="1" applyAlignment="1">
      <alignment horizontal="center"/>
    </xf>
    <xf numFmtId="170" fontId="16" fillId="10" borderId="1" xfId="0" applyNumberFormat="1" applyFont="1" applyFill="1" applyBorder="1"/>
    <xf numFmtId="174" fontId="16" fillId="10" borderId="1" xfId="2" applyNumberFormat="1" applyFont="1" applyFill="1" applyBorder="1"/>
    <xf numFmtId="170" fontId="16" fillId="10" borderId="1" xfId="1" applyNumberFormat="1" applyFont="1" applyFill="1" applyBorder="1"/>
    <xf numFmtId="170" fontId="16" fillId="11" borderId="1" xfId="0" applyNumberFormat="1" applyFont="1" applyFill="1" applyBorder="1"/>
    <xf numFmtId="169" fontId="16" fillId="10" borderId="1" xfId="0" applyNumberFormat="1" applyFont="1" applyFill="1" applyBorder="1"/>
    <xf numFmtId="4" fontId="16" fillId="10" borderId="1" xfId="0" applyNumberFormat="1" applyFont="1" applyFill="1" applyBorder="1"/>
    <xf numFmtId="170" fontId="17" fillId="13" borderId="1" xfId="1" applyNumberFormat="1" applyFont="1" applyFill="1" applyBorder="1" applyAlignment="1">
      <alignment horizontal="center"/>
    </xf>
    <xf numFmtId="174" fontId="17" fillId="13" borderId="1" xfId="0" applyNumberFormat="1" applyFont="1" applyFill="1" applyBorder="1" applyAlignment="1">
      <alignment horizontal="center"/>
    </xf>
    <xf numFmtId="174" fontId="16" fillId="11" borderId="1" xfId="2" applyNumberFormat="1" applyFont="1" applyFill="1" applyBorder="1"/>
    <xf numFmtId="174" fontId="17" fillId="13" borderId="1" xfId="2" applyNumberFormat="1" applyFont="1" applyFill="1" applyBorder="1" applyAlignment="1">
      <alignment horizontal="center"/>
    </xf>
    <xf numFmtId="170" fontId="17" fillId="13" borderId="1" xfId="1" applyNumberFormat="1" applyFont="1" applyFill="1" applyBorder="1"/>
    <xf numFmtId="169" fontId="22" fillId="8" borderId="1" xfId="0" applyNumberFormat="1" applyFont="1" applyFill="1" applyBorder="1" applyAlignment="1">
      <alignment horizontal="left" vertical="center"/>
    </xf>
    <xf numFmtId="173" fontId="15" fillId="3" borderId="1" xfId="0" applyNumberFormat="1" applyFont="1" applyFill="1" applyBorder="1" applyAlignment="1">
      <alignment horizontal="left" vertical="center"/>
    </xf>
    <xf numFmtId="171" fontId="22" fillId="0" borderId="1" xfId="0" applyNumberFormat="1" applyFont="1" applyBorder="1" applyAlignment="1">
      <alignment horizontal="left" vertical="center"/>
    </xf>
    <xf numFmtId="4" fontId="25" fillId="2" borderId="4" xfId="0" applyNumberFormat="1" applyFont="1" applyFill="1" applyAlignment="1">
      <alignment horizontal="center" vertical="center"/>
    </xf>
    <xf numFmtId="174" fontId="25" fillId="2" borderId="4" xfId="4" applyNumberFormat="1" applyFont="1" applyFill="1" applyAlignment="1">
      <alignment horizontal="center" vertical="center"/>
    </xf>
    <xf numFmtId="4" fontId="27" fillId="2" borderId="4" xfId="0" applyNumberFormat="1" applyFont="1" applyFill="1" applyAlignment="1">
      <alignment horizontal="center" vertical="center"/>
    </xf>
    <xf numFmtId="175" fontId="16" fillId="11" borderId="0" xfId="1" applyNumberFormat="1" applyFont="1" applyFill="1" applyBorder="1"/>
    <xf numFmtId="2" fontId="16" fillId="11" borderId="1" xfId="0" applyNumberFormat="1" applyFont="1" applyFill="1" applyBorder="1"/>
    <xf numFmtId="176" fontId="8" fillId="13" borderId="5" xfId="0" applyNumberFormat="1" applyFont="1" applyFill="1" applyBorder="1" applyAlignment="1">
      <alignment horizontal="center" wrapText="1"/>
    </xf>
    <xf numFmtId="0" fontId="29" fillId="0" borderId="0" xfId="0" applyFont="1" applyBorder="1"/>
    <xf numFmtId="1" fontId="6" fillId="17" borderId="1" xfId="0" applyNumberFormat="1" applyFont="1" applyFill="1" applyBorder="1" applyAlignment="1" applyProtection="1">
      <alignment horizontal="center"/>
      <protection locked="0"/>
    </xf>
    <xf numFmtId="1" fontId="10" fillId="17" borderId="1" xfId="0" applyNumberFormat="1" applyFont="1" applyFill="1" applyBorder="1" applyAlignment="1" applyProtection="1">
      <alignment horizontal="center"/>
      <protection locked="0"/>
    </xf>
    <xf numFmtId="14" fontId="16" fillId="11" borderId="1" xfId="0" applyNumberFormat="1" applyFont="1" applyFill="1" applyBorder="1" applyAlignment="1">
      <alignment horizontal="center"/>
    </xf>
    <xf numFmtId="0" fontId="31" fillId="0" borderId="0" xfId="0" applyFont="1" applyBorder="1" applyAlignment="1">
      <alignment horizontal="center"/>
    </xf>
    <xf numFmtId="0" fontId="30" fillId="0" borderId="0" xfId="0" applyFont="1" applyBorder="1" applyAlignment="1">
      <alignment horizontal="center"/>
    </xf>
    <xf numFmtId="0" fontId="12" fillId="7" borderId="4" xfId="0" applyFont="1" applyFill="1" applyAlignment="1">
      <alignment horizontal="left" vertical="center"/>
    </xf>
    <xf numFmtId="0" fontId="12" fillId="7" borderId="4" xfId="0" applyFont="1" applyFill="1" applyAlignment="1">
      <alignment horizontal="left" vertical="center" wrapText="1"/>
    </xf>
    <xf numFmtId="0" fontId="9" fillId="7" borderId="4" xfId="0" applyFont="1" applyFill="1" applyAlignment="1">
      <alignment wrapText="1"/>
    </xf>
    <xf numFmtId="0" fontId="9" fillId="7" borderId="0" xfId="0" applyFont="1" applyFill="1" applyBorder="1"/>
    <xf numFmtId="165" fontId="21" fillId="0" borderId="14" xfId="0" applyNumberFormat="1" applyFont="1" applyBorder="1"/>
    <xf numFmtId="0" fontId="0" fillId="0" borderId="15" xfId="0" applyBorder="1"/>
    <xf numFmtId="0" fontId="0" fillId="0" borderId="14" xfId="0" applyBorder="1"/>
    <xf numFmtId="0" fontId="14" fillId="7" borderId="4" xfId="0" applyFont="1" applyFill="1" applyAlignment="1">
      <alignment vertical="center" wrapText="1"/>
    </xf>
    <xf numFmtId="0" fontId="16" fillId="11" borderId="4" xfId="0" applyFont="1" applyFill="1"/>
    <xf numFmtId="0" fontId="5" fillId="0" borderId="0" xfId="0" applyFont="1" applyBorder="1"/>
    <xf numFmtId="0" fontId="8" fillId="13" borderId="5" xfId="0" applyFont="1" applyFill="1" applyBorder="1" applyAlignment="1">
      <alignment horizontal="center" wrapText="1"/>
    </xf>
    <xf numFmtId="0" fontId="0" fillId="0" borderId="5" xfId="0" applyBorder="1"/>
    <xf numFmtId="0" fontId="17" fillId="0" borderId="1" xfId="0" applyFont="1" applyBorder="1"/>
    <xf numFmtId="0" fontId="0" fillId="0" borderId="11" xfId="0" applyBorder="1"/>
    <xf numFmtId="0" fontId="0" fillId="0" borderId="13" xfId="0" applyBorder="1"/>
    <xf numFmtId="0" fontId="10" fillId="9" borderId="1" xfId="0" applyFont="1" applyFill="1" applyBorder="1"/>
    <xf numFmtId="0" fontId="6" fillId="13" borderId="1" xfId="0" applyFont="1" applyFill="1" applyBorder="1" applyAlignment="1">
      <alignment horizontal="center"/>
    </xf>
    <xf numFmtId="0" fontId="7" fillId="13" borderId="1" xfId="0" applyFont="1" applyFill="1" applyBorder="1" applyAlignment="1">
      <alignment horizontal="center"/>
    </xf>
    <xf numFmtId="0" fontId="6" fillId="13" borderId="1" xfId="0" applyFont="1" applyFill="1" applyBorder="1" applyAlignment="1">
      <alignment horizontal="center" vertical="center"/>
    </xf>
    <xf numFmtId="0" fontId="10" fillId="13" borderId="1" xfId="0" applyFont="1" applyFill="1" applyBorder="1" applyAlignment="1">
      <alignment horizontal="center" vertical="center"/>
    </xf>
    <xf numFmtId="0" fontId="0" fillId="0" borderId="3" xfId="0" applyBorder="1"/>
    <xf numFmtId="0" fontId="0" fillId="0" borderId="12" xfId="0" applyBorder="1"/>
    <xf numFmtId="0" fontId="0" fillId="0" borderId="17" xfId="0" applyBorder="1"/>
    <xf numFmtId="0" fontId="0" fillId="0" borderId="8" xfId="0" applyBorder="1"/>
    <xf numFmtId="0" fontId="16" fillId="0" borderId="1" xfId="0" applyFont="1" applyBorder="1" applyAlignment="1">
      <alignment horizontal="left" vertical="top" wrapText="1"/>
    </xf>
    <xf numFmtId="164" fontId="16" fillId="0" borderId="1" xfId="2" applyNumberFormat="1" applyFont="1" applyBorder="1"/>
    <xf numFmtId="0" fontId="10" fillId="9" borderId="1" xfId="0" applyFont="1" applyFill="1" applyBorder="1" applyAlignment="1">
      <alignment horizontal="center" vertical="center"/>
    </xf>
    <xf numFmtId="0" fontId="27" fillId="0" borderId="1" xfId="0" applyFont="1" applyBorder="1" applyAlignment="1">
      <alignment horizontal="center" vertical="center"/>
    </xf>
    <xf numFmtId="0" fontId="18" fillId="16" borderId="4" xfId="0" applyFont="1" applyFill="1" applyAlignment="1">
      <alignment horizontal="left" vertical="top" wrapText="1"/>
    </xf>
    <xf numFmtId="0" fontId="0" fillId="0" borderId="4" xfId="0"/>
    <xf numFmtId="0" fontId="12" fillId="2" borderId="4" xfId="0" applyFont="1" applyFill="1" applyAlignment="1">
      <alignment horizontal="center" vertical="center"/>
    </xf>
    <xf numFmtId="0" fontId="16" fillId="0" borderId="4" xfId="0" applyFont="1"/>
    <xf numFmtId="0" fontId="12" fillId="2" borderId="4" xfId="0" applyFont="1" applyFill="1" applyAlignment="1">
      <alignment horizontal="left"/>
    </xf>
    <xf numFmtId="0" fontId="28" fillId="2" borderId="4" xfId="0" applyFont="1" applyFill="1" applyAlignment="1">
      <alignment horizontal="center" vertical="center"/>
    </xf>
    <xf numFmtId="0" fontId="12" fillId="2" borderId="4" xfId="0" applyFont="1" applyFill="1" applyAlignment="1">
      <alignment horizontal="left" vertical="center"/>
    </xf>
    <xf numFmtId="0" fontId="3" fillId="2" borderId="4" xfId="0" applyFont="1" applyFill="1" applyAlignment="1">
      <alignment horizontal="left" vertical="center"/>
    </xf>
    <xf numFmtId="0" fontId="0" fillId="0" borderId="0" xfId="0" applyBorder="1"/>
  </cellXfs>
  <cellStyles count="5">
    <cellStyle name="Comma" xfId="1" xr:uid="{00000000-0005-0000-0000-000001000000}"/>
    <cellStyle name="Normal" xfId="0" builtinId="0"/>
    <cellStyle name="Normal 2" xfId="3" xr:uid="{00000000-0005-0000-0000-000003000000}"/>
    <cellStyle name="Per cent" xfId="4" builtinId="5"/>
    <cellStyle name="Percent"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
  <sheetViews>
    <sheetView showGridLines="0" workbookViewId="0">
      <selection activeCell="A6" sqref="A6:AC6"/>
    </sheetView>
  </sheetViews>
  <sheetFormatPr defaultRowHeight="14.5" x14ac:dyDescent="0.35"/>
  <sheetData>
    <row r="1" spans="1:29" ht="25.5" x14ac:dyDescent="0.55000000000000004">
      <c r="A1" s="249" t="s">
        <v>486</v>
      </c>
      <c r="B1" s="249"/>
      <c r="C1" s="249"/>
      <c r="D1" s="249"/>
      <c r="E1" s="249"/>
      <c r="F1" s="249"/>
      <c r="G1" s="249"/>
      <c r="H1" s="249"/>
      <c r="I1" s="249"/>
      <c r="J1" s="249"/>
      <c r="K1" s="249"/>
      <c r="L1" s="249"/>
      <c r="M1" s="249"/>
      <c r="N1" s="249"/>
      <c r="O1" s="249"/>
      <c r="P1" s="249"/>
      <c r="Q1" s="249"/>
      <c r="R1" s="249"/>
      <c r="S1" s="249"/>
      <c r="T1" s="249"/>
      <c r="U1" s="249"/>
      <c r="V1" s="249"/>
      <c r="W1" s="249"/>
      <c r="X1" s="249"/>
      <c r="Y1" s="249"/>
      <c r="Z1" s="249"/>
      <c r="AA1" s="249"/>
      <c r="AB1" s="249"/>
      <c r="AC1" s="249"/>
    </row>
    <row r="2" spans="1:29" ht="20.5" x14ac:dyDescent="0.45">
      <c r="A2" s="248" t="s">
        <v>487</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row>
    <row r="3" spans="1:29" ht="20.5" x14ac:dyDescent="0.45">
      <c r="A3" s="248" t="s">
        <v>488</v>
      </c>
      <c r="B3" s="248"/>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row>
    <row r="4" spans="1:29" ht="20.5" x14ac:dyDescent="0.45">
      <c r="A4" s="248" t="s">
        <v>489</v>
      </c>
      <c r="B4" s="248"/>
      <c r="C4" s="248"/>
      <c r="D4" s="248"/>
      <c r="E4" s="248"/>
      <c r="F4" s="248"/>
      <c r="G4" s="248"/>
      <c r="H4" s="248"/>
      <c r="I4" s="248"/>
      <c r="J4" s="248"/>
      <c r="K4" s="248"/>
      <c r="L4" s="248"/>
      <c r="M4" s="248"/>
      <c r="N4" s="248"/>
      <c r="O4" s="248"/>
      <c r="P4" s="248"/>
      <c r="Q4" s="248"/>
      <c r="R4" s="248"/>
      <c r="S4" s="248"/>
      <c r="T4" s="248"/>
      <c r="U4" s="248"/>
      <c r="V4" s="248"/>
      <c r="W4" s="248"/>
      <c r="X4" s="248"/>
      <c r="Y4" s="248"/>
      <c r="Z4" s="248"/>
      <c r="AA4" s="248"/>
      <c r="AB4" s="248"/>
      <c r="AC4" s="248"/>
    </row>
    <row r="5" spans="1:29" ht="20.5" x14ac:dyDescent="0.45">
      <c r="A5" s="248" t="s">
        <v>490</v>
      </c>
      <c r="B5" s="248"/>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row>
    <row r="6" spans="1:29" ht="20.5" x14ac:dyDescent="0.45">
      <c r="A6" s="248" t="s">
        <v>491</v>
      </c>
      <c r="B6" s="248"/>
      <c r="C6" s="248"/>
      <c r="D6" s="248"/>
      <c r="E6" s="248"/>
      <c r="F6" s="248"/>
      <c r="G6" s="248"/>
      <c r="H6" s="248"/>
      <c r="I6" s="248"/>
      <c r="J6" s="248"/>
      <c r="K6" s="248"/>
      <c r="L6" s="248"/>
      <c r="M6" s="248"/>
      <c r="N6" s="248"/>
      <c r="O6" s="248"/>
      <c r="P6" s="248"/>
      <c r="Q6" s="248"/>
      <c r="R6" s="248"/>
      <c r="S6" s="248"/>
      <c r="T6" s="248"/>
      <c r="U6" s="248"/>
      <c r="V6" s="248"/>
      <c r="W6" s="248"/>
      <c r="X6" s="248"/>
      <c r="Y6" s="248"/>
      <c r="Z6" s="248"/>
      <c r="AA6" s="248"/>
      <c r="AB6" s="248"/>
      <c r="AC6" s="248"/>
    </row>
    <row r="7" spans="1:29" ht="34.5" customHeight="1" x14ac:dyDescent="1.45">
      <c r="A7" s="244"/>
    </row>
  </sheetData>
  <sheetProtection algorithmName="SHA-512" hashValue="xJ2lV0BvGhwTznu3Y38ReD1rjX69TL9CRPA6YNFHIl9DIgY2dBQ0nzGHiSw1p1GrZzUxEez4BdrJlIRRCnrOhA==" saltValue="kFIUuQgbwAOaMvd1W5Ny7w==" spinCount="100000" sheet="1" objects="1" scenarios="1"/>
  <mergeCells count="6">
    <mergeCell ref="A6:AC6"/>
    <mergeCell ref="A1:AC1"/>
    <mergeCell ref="A2:AC2"/>
    <mergeCell ref="A3:AC3"/>
    <mergeCell ref="A4:AC4"/>
    <mergeCell ref="A5:AC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
  <sheetViews>
    <sheetView showGridLines="0" workbookViewId="0">
      <selection activeCell="J6" sqref="J6"/>
    </sheetView>
  </sheetViews>
  <sheetFormatPr defaultRowHeight="14.5" x14ac:dyDescent="0.35"/>
  <cols>
    <col min="1" max="1" width="34.453125" bestFit="1" customWidth="1"/>
    <col min="2" max="8" width="14" bestFit="1" customWidth="1"/>
    <col min="9" max="9" width="13" customWidth="1"/>
    <col min="10" max="10" width="17.1796875" bestFit="1" customWidth="1"/>
    <col min="11" max="11" width="22" bestFit="1" customWidth="1"/>
    <col min="12" max="12" width="50.26953125" bestFit="1" customWidth="1"/>
    <col min="13" max="13" width="36.1796875" bestFit="1" customWidth="1"/>
    <col min="14" max="14" width="60.7265625" bestFit="1" customWidth="1"/>
  </cols>
  <sheetData>
    <row r="1" spans="1:14" s="126" customFormat="1" ht="24" customHeight="1" x14ac:dyDescent="0.35">
      <c r="A1" s="250" t="s">
        <v>0</v>
      </c>
      <c r="B1" s="250"/>
      <c r="C1" s="250"/>
      <c r="D1" s="250"/>
      <c r="E1" s="250"/>
      <c r="F1" s="250"/>
      <c r="G1" s="250"/>
      <c r="H1" s="250"/>
      <c r="I1" s="250"/>
      <c r="J1" s="250"/>
      <c r="K1" s="250"/>
      <c r="L1" s="250"/>
      <c r="M1" s="250"/>
      <c r="N1" s="250"/>
    </row>
    <row r="2" spans="1:14" s="22" customFormat="1" ht="14.15" customHeight="1" x14ac:dyDescent="0.3"/>
    <row r="3" spans="1:14" s="22" customFormat="1" ht="40" customHeight="1" x14ac:dyDescent="0.4">
      <c r="A3" s="92" t="s">
        <v>1</v>
      </c>
      <c r="B3" s="92" t="s">
        <v>2</v>
      </c>
      <c r="C3" s="92" t="s">
        <v>3</v>
      </c>
      <c r="D3" s="92" t="s">
        <v>4</v>
      </c>
      <c r="E3" s="92" t="s">
        <v>5</v>
      </c>
      <c r="F3" s="92" t="s">
        <v>6</v>
      </c>
      <c r="G3" s="92" t="s">
        <v>7</v>
      </c>
      <c r="H3" s="92" t="s">
        <v>8</v>
      </c>
      <c r="I3" s="36"/>
      <c r="J3" s="93" t="s">
        <v>9</v>
      </c>
      <c r="K3" s="93" t="s">
        <v>10</v>
      </c>
      <c r="L3" s="93" t="s">
        <v>11</v>
      </c>
      <c r="M3" s="93" t="s">
        <v>12</v>
      </c>
    </row>
    <row r="4" spans="1:14" s="22" customFormat="1" ht="31" customHeight="1" x14ac:dyDescent="0.35">
      <c r="A4" s="155" t="s">
        <v>13</v>
      </c>
      <c r="B4" s="172">
        <f>'Historical BS'!C24</f>
        <v>16154.77</v>
      </c>
      <c r="C4" s="172">
        <f>'Historical BS'!D24</f>
        <v>20369.62</v>
      </c>
      <c r="D4" s="172">
        <f>'Historical BS'!E24</f>
        <v>22984.45</v>
      </c>
      <c r="E4" s="172">
        <f>'Historical BS'!F24</f>
        <v>25798</v>
      </c>
      <c r="F4" s="172">
        <f>'Historical BS'!G24</f>
        <v>29924.09</v>
      </c>
      <c r="G4" s="172">
        <f>'Historical BS'!H24</f>
        <v>30371.37</v>
      </c>
      <c r="H4" s="172">
        <f>'Historical BS'!I24</f>
        <v>34534.49</v>
      </c>
      <c r="I4" s="32"/>
      <c r="J4" s="38" t="s">
        <v>14</v>
      </c>
      <c r="K4" s="38" t="s">
        <v>15</v>
      </c>
      <c r="L4" s="37" t="s">
        <v>16</v>
      </c>
      <c r="M4" s="33" t="s">
        <v>17</v>
      </c>
    </row>
    <row r="5" spans="1:14" s="22" customFormat="1" ht="31" customHeight="1" x14ac:dyDescent="0.35">
      <c r="A5" s="48" t="s">
        <v>18</v>
      </c>
      <c r="B5" s="172">
        <f>'Historical BS'!C25</f>
        <v>16154.77</v>
      </c>
      <c r="C5" s="172">
        <f>'Historical BS'!D25</f>
        <v>20369.62</v>
      </c>
      <c r="D5" s="172">
        <f>'Historical BS'!E25</f>
        <v>22984.45</v>
      </c>
      <c r="E5" s="172">
        <f>'Historical BS'!F25</f>
        <v>25798</v>
      </c>
      <c r="F5" s="172">
        <f>'Historical BS'!G25</f>
        <v>29924.09</v>
      </c>
      <c r="G5" s="172">
        <f>'Historical BS'!H25</f>
        <v>30371.37</v>
      </c>
      <c r="H5" s="172">
        <f>'Historical BS'!I25</f>
        <v>34534.49</v>
      </c>
      <c r="I5" s="32"/>
      <c r="J5" s="38" t="s">
        <v>19</v>
      </c>
      <c r="K5" s="38" t="s">
        <v>20</v>
      </c>
      <c r="L5" s="37" t="s">
        <v>16</v>
      </c>
      <c r="M5" s="33" t="s">
        <v>17</v>
      </c>
    </row>
    <row r="6" spans="1:14" s="22" customFormat="1" ht="31" customHeight="1" x14ac:dyDescent="0.35">
      <c r="A6" s="155" t="s">
        <v>21</v>
      </c>
      <c r="B6" s="173">
        <f t="shared" ref="B6:H6" si="0">B4-B5</f>
        <v>0</v>
      </c>
      <c r="C6" s="173">
        <f t="shared" si="0"/>
        <v>0</v>
      </c>
      <c r="D6" s="173">
        <f t="shared" si="0"/>
        <v>0</v>
      </c>
      <c r="E6" s="173">
        <f t="shared" si="0"/>
        <v>0</v>
      </c>
      <c r="F6" s="173">
        <f t="shared" si="0"/>
        <v>0</v>
      </c>
      <c r="G6" s="173">
        <f t="shared" si="0"/>
        <v>0</v>
      </c>
      <c r="H6" s="173">
        <f t="shared" si="0"/>
        <v>0</v>
      </c>
      <c r="I6" s="32"/>
      <c r="J6" s="38" t="s">
        <v>22</v>
      </c>
      <c r="K6" s="38" t="s">
        <v>23</v>
      </c>
      <c r="L6" s="37" t="s">
        <v>24</v>
      </c>
      <c r="M6" s="33" t="s">
        <v>25</v>
      </c>
    </row>
    <row r="7" spans="1:14" s="22" customFormat="1" ht="31" customHeight="1" x14ac:dyDescent="0.35">
      <c r="A7" s="155" t="s">
        <v>26</v>
      </c>
      <c r="B7" s="172">
        <f>'Historical Cash Flow'!C5</f>
        <v>3038.15</v>
      </c>
      <c r="C7" s="172">
        <f>'Historical Cash Flow'!D5</f>
        <v>3683.35</v>
      </c>
      <c r="D7" s="172">
        <f>'Historical Cash Flow'!E5</f>
        <v>986.49</v>
      </c>
      <c r="E7" s="172">
        <f>'Historical Cash Flow'!F5</f>
        <v>4193.43</v>
      </c>
      <c r="F7" s="172">
        <f>'Historical Cash Flow'!G5</f>
        <v>6103.6</v>
      </c>
      <c r="G7" s="172">
        <f>'Historical Cash Flow'!H5</f>
        <v>4423.96</v>
      </c>
      <c r="H7" s="172">
        <f>'Historical Cash Flow'!I5</f>
        <v>7088.18</v>
      </c>
      <c r="I7" s="32"/>
      <c r="J7" s="38" t="s">
        <v>27</v>
      </c>
      <c r="K7" s="38" t="s">
        <v>28</v>
      </c>
      <c r="L7" s="37" t="s">
        <v>29</v>
      </c>
      <c r="M7" s="33" t="s">
        <v>30</v>
      </c>
    </row>
    <row r="8" spans="1:14" s="22" customFormat="1" ht="31" customHeight="1" x14ac:dyDescent="0.35">
      <c r="A8" s="155" t="s">
        <v>31</v>
      </c>
      <c r="B8" s="172">
        <f>'Historical Cash Flow'!C22</f>
        <v>403.54</v>
      </c>
      <c r="C8" s="172">
        <f>'Historical Cash Flow'!D22</f>
        <v>281.87</v>
      </c>
      <c r="D8" s="172">
        <f>'Historical Cash Flow'!E22</f>
        <v>538.24</v>
      </c>
      <c r="E8" s="172">
        <f>'Historical Cash Flow'!F22</f>
        <v>1273.3699999999999</v>
      </c>
      <c r="F8" s="172">
        <f>'Historical Cash Flow'!G22</f>
        <v>2199.0100000000002</v>
      </c>
      <c r="G8" s="172">
        <f>'Historical Cash Flow'!H22</f>
        <v>1805.32</v>
      </c>
      <c r="H8" s="172">
        <f>'Historical Cash Flow'!I22</f>
        <v>1467.02</v>
      </c>
      <c r="I8" s="32"/>
      <c r="J8" s="38" t="s">
        <v>32</v>
      </c>
      <c r="K8" s="38" t="s">
        <v>33</v>
      </c>
      <c r="L8" s="37" t="s">
        <v>34</v>
      </c>
      <c r="M8" s="33" t="s">
        <v>35</v>
      </c>
    </row>
    <row r="9" spans="1:14" s="22" customFormat="1" ht="31" customHeight="1" x14ac:dyDescent="0.35">
      <c r="A9" s="48" t="s">
        <v>36</v>
      </c>
      <c r="B9" s="172">
        <f>'Historical Cash Flow'!C24</f>
        <v>2634.61</v>
      </c>
      <c r="C9" s="172">
        <f>'Historical Cash Flow'!D24</f>
        <v>3401.48</v>
      </c>
      <c r="D9" s="172">
        <f>'Historical Cash Flow'!E24</f>
        <v>448.25</v>
      </c>
      <c r="E9" s="172">
        <f>'Historical Cash Flow'!F24</f>
        <v>2920.0600000000004</v>
      </c>
      <c r="F9" s="172">
        <f>'Historical Cash Flow'!G24</f>
        <v>3904.59</v>
      </c>
      <c r="G9" s="172">
        <f>'Historical Cash Flow'!H24</f>
        <v>2618.6400000000003</v>
      </c>
      <c r="H9" s="172">
        <f>'Historical Cash Flow'!I24</f>
        <v>5621.16</v>
      </c>
      <c r="I9" s="32"/>
      <c r="J9" s="38" t="s">
        <v>37</v>
      </c>
      <c r="K9" s="38" t="s">
        <v>38</v>
      </c>
      <c r="L9" s="37" t="s">
        <v>39</v>
      </c>
      <c r="M9" s="33" t="s">
        <v>40</v>
      </c>
    </row>
    <row r="10" spans="1:14" s="22" customFormat="1" ht="31" customHeight="1" x14ac:dyDescent="0.35">
      <c r="A10" s="32"/>
      <c r="B10" s="32"/>
      <c r="C10" s="32"/>
      <c r="D10" s="32"/>
      <c r="E10" s="35"/>
      <c r="F10" s="32"/>
      <c r="G10" s="32"/>
      <c r="H10" s="32"/>
      <c r="I10" s="32"/>
      <c r="J10" s="38" t="s">
        <v>41</v>
      </c>
      <c r="K10" s="38" t="s">
        <v>42</v>
      </c>
      <c r="L10" s="37" t="s">
        <v>43</v>
      </c>
      <c r="M10" s="33" t="s">
        <v>44</v>
      </c>
    </row>
    <row r="11" spans="1:14" x14ac:dyDescent="0.35">
      <c r="A11" s="1"/>
      <c r="B11" s="1"/>
      <c r="C11" s="1"/>
      <c r="D11" s="1"/>
      <c r="E11" s="1"/>
      <c r="F11" s="1"/>
      <c r="G11" s="1"/>
      <c r="H11" s="1"/>
      <c r="I11" s="1"/>
      <c r="J11" s="1"/>
      <c r="K11" s="1"/>
      <c r="L11" s="1"/>
      <c r="M11" s="1"/>
      <c r="N11" s="1"/>
    </row>
    <row r="12" spans="1:14" ht="28.9" customHeight="1" x14ac:dyDescent="0.35"/>
  </sheetData>
  <sheetProtection algorithmName="SHA-512" hashValue="b1/LJqNX9gEteonwmYrYiK2evOfbX65KWgPM88/yPz6tb5zjhhmDcnpkznkVmNlBwZ4qWFrVrMeKW4Zm1i7NEw==" saltValue="VrgvuoMgO0CBQMsezDokxA==" spinCount="100000" sheet="1" objects="1" scenarios="1"/>
  <mergeCells count="1">
    <mergeCell ref="A1:N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6"/>
  <sheetViews>
    <sheetView showGridLines="0" workbookViewId="0">
      <selection activeCell="D6" sqref="D6"/>
    </sheetView>
  </sheetViews>
  <sheetFormatPr defaultColWidth="9.1796875" defaultRowHeight="17.5" x14ac:dyDescent="0.35"/>
  <cols>
    <col min="1" max="1" width="56.26953125" style="18" bestFit="1" customWidth="1"/>
    <col min="2" max="8" width="15.7265625" style="18" bestFit="1" customWidth="1"/>
    <col min="9" max="9" width="9.1796875" style="18" customWidth="1"/>
    <col min="10" max="10" width="10" style="18" customWidth="1"/>
    <col min="11" max="13" width="9.1796875" style="18" customWidth="1"/>
    <col min="14" max="16384" width="9.1796875" style="18"/>
  </cols>
  <sheetData>
    <row r="1" spans="1:12" s="26" customFormat="1" x14ac:dyDescent="0.35">
      <c r="A1" s="251" t="s">
        <v>45</v>
      </c>
      <c r="B1" s="252"/>
      <c r="C1" s="252"/>
      <c r="D1" s="252"/>
      <c r="E1" s="252"/>
      <c r="F1" s="252"/>
      <c r="G1" s="252"/>
      <c r="H1" s="252"/>
    </row>
    <row r="2" spans="1:12" s="26" customFormat="1" ht="18" customHeight="1" x14ac:dyDescent="0.35">
      <c r="A2" s="30" t="s">
        <v>46</v>
      </c>
      <c r="B2" s="23"/>
      <c r="C2" s="23"/>
      <c r="D2" s="23"/>
      <c r="E2" s="23"/>
      <c r="F2" s="23"/>
      <c r="G2" s="23"/>
      <c r="H2" s="23"/>
    </row>
    <row r="3" spans="1:12" s="29" customFormat="1" x14ac:dyDescent="0.35">
      <c r="A3" s="28"/>
      <c r="B3" s="25"/>
      <c r="C3" s="25"/>
      <c r="D3" s="25"/>
      <c r="E3" s="25"/>
      <c r="F3" s="25"/>
      <c r="G3" s="25"/>
      <c r="H3" s="25"/>
    </row>
    <row r="4" spans="1:12" s="29" customFormat="1" x14ac:dyDescent="0.35">
      <c r="A4" s="28"/>
      <c r="B4" s="25"/>
      <c r="C4" s="25"/>
      <c r="D4" s="25"/>
      <c r="E4" s="25"/>
      <c r="F4" s="25"/>
      <c r="G4" s="25"/>
      <c r="H4" s="25"/>
    </row>
    <row r="5" spans="1:12" ht="40" customHeight="1" x14ac:dyDescent="0.35">
      <c r="A5" s="94" t="s">
        <v>47</v>
      </c>
      <c r="B5" s="95" t="s">
        <v>2</v>
      </c>
      <c r="C5" s="95" t="s">
        <v>3</v>
      </c>
      <c r="D5" s="95" t="s">
        <v>4</v>
      </c>
      <c r="E5" s="95" t="s">
        <v>5</v>
      </c>
      <c r="F5" s="95" t="s">
        <v>6</v>
      </c>
      <c r="G5" s="95" t="s">
        <v>7</v>
      </c>
      <c r="H5" s="95" t="s">
        <v>8</v>
      </c>
    </row>
    <row r="6" spans="1:12" x14ac:dyDescent="0.35">
      <c r="A6" s="40" t="s">
        <v>48</v>
      </c>
      <c r="B6" s="174">
        <f>20025.96+22.36</f>
        <v>20048.32</v>
      </c>
      <c r="C6" s="174">
        <f>21440.24+44.96</f>
        <v>21485.200000000001</v>
      </c>
      <c r="D6" s="174">
        <f>28830.02+93.46</f>
        <v>28923.48</v>
      </c>
      <c r="E6" s="174">
        <f>34253.35+114.48</f>
        <v>34367.83</v>
      </c>
      <c r="F6" s="174">
        <f>35248.88+133.24</f>
        <v>35382.119999999995</v>
      </c>
      <c r="G6" s="174">
        <f>33626.82+170.54</f>
        <v>33797.360000000001</v>
      </c>
      <c r="H6" s="174">
        <f>35416.25+100.12</f>
        <v>35516.370000000003</v>
      </c>
      <c r="I6" s="20"/>
      <c r="J6" s="20"/>
      <c r="K6" s="20"/>
      <c r="L6" s="20"/>
    </row>
    <row r="7" spans="1:12" x14ac:dyDescent="0.35">
      <c r="A7" s="40" t="s">
        <v>49</v>
      </c>
      <c r="B7" s="174">
        <v>162.93</v>
      </c>
      <c r="C7" s="174">
        <v>227.59</v>
      </c>
      <c r="D7" s="174">
        <v>177.8</v>
      </c>
      <c r="E7" s="174">
        <v>120.76</v>
      </c>
      <c r="F7" s="174">
        <v>112.61</v>
      </c>
      <c r="G7" s="174">
        <v>108.26</v>
      </c>
      <c r="H7" s="174">
        <v>67.17</v>
      </c>
      <c r="I7" s="20"/>
      <c r="J7" s="20"/>
      <c r="K7" s="20"/>
      <c r="L7" s="20"/>
    </row>
    <row r="8" spans="1:12" x14ac:dyDescent="0.35">
      <c r="A8" s="40" t="s">
        <v>50</v>
      </c>
      <c r="B8" s="175">
        <f t="shared" ref="B8:H8" si="0">SUM(B6:B7)</f>
        <v>20211.25</v>
      </c>
      <c r="C8" s="175">
        <f t="shared" si="0"/>
        <v>21712.79</v>
      </c>
      <c r="D8" s="175">
        <f t="shared" si="0"/>
        <v>29101.279999999999</v>
      </c>
      <c r="E8" s="175">
        <f t="shared" si="0"/>
        <v>34488.590000000004</v>
      </c>
      <c r="F8" s="175">
        <f t="shared" si="0"/>
        <v>35494.729999999996</v>
      </c>
      <c r="G8" s="175">
        <f t="shared" si="0"/>
        <v>33905.620000000003</v>
      </c>
      <c r="H8" s="175">
        <f t="shared" si="0"/>
        <v>35583.54</v>
      </c>
      <c r="I8" s="20"/>
      <c r="J8" s="20"/>
      <c r="K8" s="20"/>
      <c r="L8" s="20"/>
    </row>
    <row r="9" spans="1:12" x14ac:dyDescent="0.35">
      <c r="A9" s="40" t="s">
        <v>51</v>
      </c>
      <c r="B9" s="174">
        <v>-10091.780000000001</v>
      </c>
      <c r="C9" s="174">
        <v>-10317.09</v>
      </c>
      <c r="D9" s="174">
        <v>-16254.59</v>
      </c>
      <c r="E9" s="174">
        <v>-17330.580000000002</v>
      </c>
      <c r="F9" s="174">
        <v>-15868.21</v>
      </c>
      <c r="G9" s="174">
        <v>-15793.92</v>
      </c>
      <c r="H9" s="174">
        <v>-15384.05</v>
      </c>
      <c r="I9" s="20"/>
      <c r="J9" s="20"/>
      <c r="K9" s="20"/>
      <c r="L9" s="20"/>
    </row>
    <row r="10" spans="1:12" x14ac:dyDescent="0.35">
      <c r="A10" s="40" t="s">
        <v>52</v>
      </c>
      <c r="B10" s="174">
        <v>-1530.83</v>
      </c>
      <c r="C10" s="174">
        <v>-1872.59</v>
      </c>
      <c r="D10" s="174">
        <v>-3371.13</v>
      </c>
      <c r="E10" s="174">
        <v>-4135.6499999999996</v>
      </c>
      <c r="F10" s="174">
        <v>-3858.2</v>
      </c>
      <c r="G10" s="174">
        <v>-3926.86</v>
      </c>
      <c r="H10" s="174">
        <v>-4014.05</v>
      </c>
      <c r="I10" s="20"/>
      <c r="J10" s="20"/>
      <c r="K10" s="20"/>
      <c r="L10" s="20"/>
    </row>
    <row r="11" spans="1:12" x14ac:dyDescent="0.35">
      <c r="A11" s="40" t="s">
        <v>53</v>
      </c>
      <c r="B11" s="174">
        <v>239.15</v>
      </c>
      <c r="C11" s="174">
        <v>92.45</v>
      </c>
      <c r="D11" s="174">
        <v>1324.97</v>
      </c>
      <c r="E11" s="174">
        <v>309.73</v>
      </c>
      <c r="F11" s="174">
        <v>-363.8</v>
      </c>
      <c r="G11" s="174">
        <v>205</v>
      </c>
      <c r="H11" s="174">
        <v>-603.67999999999995</v>
      </c>
      <c r="I11" s="20"/>
      <c r="J11" s="20"/>
      <c r="K11" s="20"/>
      <c r="L11" s="20"/>
    </row>
    <row r="12" spans="1:12" x14ac:dyDescent="0.35">
      <c r="A12" s="40" t="s">
        <v>54</v>
      </c>
      <c r="B12" s="174">
        <v>-1366.09</v>
      </c>
      <c r="C12" s="174">
        <v>-1540.75</v>
      </c>
      <c r="D12" s="174">
        <v>-1786.67</v>
      </c>
      <c r="E12" s="174">
        <v>-2028.07</v>
      </c>
      <c r="F12" s="174">
        <v>-2326.1799999999998</v>
      </c>
      <c r="G12" s="174">
        <v>-2597.23</v>
      </c>
      <c r="H12" s="174">
        <v>-2799.59</v>
      </c>
      <c r="I12" s="20"/>
      <c r="J12" s="20"/>
      <c r="K12" s="20"/>
      <c r="L12" s="20"/>
    </row>
    <row r="13" spans="1:12" x14ac:dyDescent="0.35">
      <c r="A13" s="40" t="s">
        <v>55</v>
      </c>
      <c r="B13" s="174">
        <v>-3299.93</v>
      </c>
      <c r="C13" s="174">
        <v>-3219.21</v>
      </c>
      <c r="D13" s="174">
        <v>-4210.25</v>
      </c>
      <c r="E13" s="174">
        <v>-5044.18</v>
      </c>
      <c r="F13" s="174">
        <v>-5493.36</v>
      </c>
      <c r="G13" s="174">
        <v>-5786.4</v>
      </c>
      <c r="H13" s="174">
        <v>-6086.25</v>
      </c>
      <c r="I13" s="20"/>
      <c r="J13" s="20"/>
      <c r="K13" s="20"/>
      <c r="L13" s="20"/>
    </row>
    <row r="14" spans="1:12" x14ac:dyDescent="0.35">
      <c r="A14" s="40" t="s">
        <v>56</v>
      </c>
      <c r="B14" s="176">
        <f t="shared" ref="B14:H14" si="1">SUM(B9:B13)</f>
        <v>-16049.480000000001</v>
      </c>
      <c r="C14" s="176">
        <f t="shared" si="1"/>
        <v>-16857.189999999999</v>
      </c>
      <c r="D14" s="176">
        <f t="shared" si="1"/>
        <v>-24297.67</v>
      </c>
      <c r="E14" s="176">
        <f t="shared" si="1"/>
        <v>-28228.750000000004</v>
      </c>
      <c r="F14" s="176">
        <f t="shared" si="1"/>
        <v>-27909.75</v>
      </c>
      <c r="G14" s="176">
        <f t="shared" si="1"/>
        <v>-27899.409999999996</v>
      </c>
      <c r="H14" s="176">
        <f t="shared" si="1"/>
        <v>-28887.62</v>
      </c>
      <c r="I14" s="20"/>
      <c r="J14" s="20"/>
      <c r="K14" s="20"/>
      <c r="L14" s="20"/>
    </row>
    <row r="15" spans="1:12" x14ac:dyDescent="0.35">
      <c r="A15" s="40" t="s">
        <v>57</v>
      </c>
      <c r="B15" s="175">
        <f t="shared" ref="B15:H15" si="2">B8+B14</f>
        <v>4161.7699999999986</v>
      </c>
      <c r="C15" s="175">
        <f t="shared" si="2"/>
        <v>4855.6000000000022</v>
      </c>
      <c r="D15" s="175">
        <f t="shared" si="2"/>
        <v>4803.6100000000006</v>
      </c>
      <c r="E15" s="175">
        <f t="shared" si="2"/>
        <v>6259.84</v>
      </c>
      <c r="F15" s="175">
        <f t="shared" si="2"/>
        <v>7584.9799999999959</v>
      </c>
      <c r="G15" s="175">
        <f t="shared" si="2"/>
        <v>6006.2100000000064</v>
      </c>
      <c r="H15" s="175">
        <f t="shared" si="2"/>
        <v>6695.9200000000019</v>
      </c>
      <c r="I15" s="20"/>
      <c r="J15" s="20"/>
      <c r="K15" s="20"/>
      <c r="L15" s="20"/>
    </row>
    <row r="16" spans="1:12" x14ac:dyDescent="0.35">
      <c r="A16" s="40" t="s">
        <v>58</v>
      </c>
      <c r="B16" s="174">
        <v>-780.5</v>
      </c>
      <c r="C16" s="174">
        <v>-791.27</v>
      </c>
      <c r="D16" s="174">
        <v>-816.36</v>
      </c>
      <c r="E16" s="174">
        <v>-858.02</v>
      </c>
      <c r="F16" s="174">
        <v>-853</v>
      </c>
      <c r="G16" s="174">
        <v>-1026.3399999999999</v>
      </c>
      <c r="H16" s="174">
        <v>-1228.8499999999999</v>
      </c>
      <c r="I16" s="20"/>
      <c r="J16" s="20"/>
      <c r="K16" s="20"/>
      <c r="L16" s="20"/>
    </row>
    <row r="17" spans="1:12" x14ac:dyDescent="0.35">
      <c r="A17" s="40" t="s">
        <v>59</v>
      </c>
      <c r="B17" s="175">
        <f t="shared" ref="B17:H17" si="3">B15+B16</f>
        <v>3381.2699999999986</v>
      </c>
      <c r="C17" s="175">
        <f t="shared" si="3"/>
        <v>4064.3300000000022</v>
      </c>
      <c r="D17" s="175">
        <f t="shared" si="3"/>
        <v>3987.2500000000005</v>
      </c>
      <c r="E17" s="175">
        <f t="shared" si="3"/>
        <v>5401.82</v>
      </c>
      <c r="F17" s="175">
        <f t="shared" si="3"/>
        <v>6731.9799999999959</v>
      </c>
      <c r="G17" s="175">
        <f t="shared" si="3"/>
        <v>4979.8700000000063</v>
      </c>
      <c r="H17" s="175">
        <f t="shared" si="3"/>
        <v>5467.0700000000015</v>
      </c>
      <c r="I17" s="20"/>
      <c r="J17" s="20"/>
      <c r="K17" s="20"/>
      <c r="L17" s="20"/>
    </row>
    <row r="18" spans="1:12" x14ac:dyDescent="0.35">
      <c r="A18" s="40" t="s">
        <v>60</v>
      </c>
      <c r="B18" s="174">
        <v>304.31</v>
      </c>
      <c r="C18" s="174">
        <v>303.05</v>
      </c>
      <c r="D18" s="174">
        <v>380.01</v>
      </c>
      <c r="E18" s="174">
        <v>386.48</v>
      </c>
      <c r="F18" s="174">
        <v>687.96</v>
      </c>
      <c r="G18" s="174">
        <v>572.61</v>
      </c>
      <c r="H18" s="174">
        <v>723.8</v>
      </c>
      <c r="I18" s="20"/>
      <c r="J18" s="20"/>
      <c r="K18" s="20"/>
      <c r="L18" s="20"/>
    </row>
    <row r="19" spans="1:12" x14ac:dyDescent="0.35">
      <c r="A19" s="40" t="s">
        <v>61</v>
      </c>
      <c r="B19" s="174">
        <v>-102.33</v>
      </c>
      <c r="C19" s="174">
        <v>-91.63</v>
      </c>
      <c r="D19" s="174">
        <v>-95.41</v>
      </c>
      <c r="E19" s="174">
        <v>-144.44999999999999</v>
      </c>
      <c r="F19" s="174">
        <v>-205.17</v>
      </c>
      <c r="G19" s="174">
        <v>-227.02</v>
      </c>
      <c r="H19" s="174">
        <v>-195.41</v>
      </c>
      <c r="I19" s="20"/>
      <c r="J19" s="20"/>
      <c r="K19" s="20"/>
      <c r="L19" s="20"/>
    </row>
    <row r="20" spans="1:12" x14ac:dyDescent="0.35">
      <c r="A20" s="40" t="s">
        <v>62</v>
      </c>
      <c r="B20" s="174">
        <v>0</v>
      </c>
      <c r="C20" s="174">
        <v>0</v>
      </c>
      <c r="D20" s="174">
        <v>-115.7</v>
      </c>
      <c r="E20" s="174">
        <v>-48.87</v>
      </c>
      <c r="F20" s="174">
        <v>0</v>
      </c>
      <c r="G20" s="174">
        <v>-363.1</v>
      </c>
      <c r="H20" s="174">
        <v>-157.61000000000001</v>
      </c>
      <c r="I20" s="20"/>
      <c r="J20" s="20"/>
      <c r="K20" s="20"/>
      <c r="L20" s="20"/>
    </row>
    <row r="21" spans="1:12" x14ac:dyDescent="0.35">
      <c r="A21" s="40" t="s">
        <v>63</v>
      </c>
      <c r="B21" s="174">
        <v>50.74</v>
      </c>
      <c r="C21" s="174">
        <v>28.6</v>
      </c>
      <c r="D21" s="174">
        <v>31.57</v>
      </c>
      <c r="E21" s="174">
        <v>93.85</v>
      </c>
      <c r="F21" s="174">
        <v>133</v>
      </c>
      <c r="G21" s="174">
        <v>140.71</v>
      </c>
      <c r="H21" s="174">
        <v>165.59</v>
      </c>
      <c r="I21" s="20"/>
      <c r="J21" s="20"/>
      <c r="K21" s="20"/>
      <c r="L21" s="20"/>
    </row>
    <row r="22" spans="1:12" x14ac:dyDescent="0.35">
      <c r="A22" s="40" t="s">
        <v>64</v>
      </c>
      <c r="B22" s="175">
        <f t="shared" ref="B22:H22" si="4">SUM(B17:B21)</f>
        <v>3633.9899999999984</v>
      </c>
      <c r="C22" s="175">
        <f t="shared" si="4"/>
        <v>4304.3500000000022</v>
      </c>
      <c r="D22" s="175">
        <f t="shared" si="4"/>
        <v>4187.72</v>
      </c>
      <c r="E22" s="175">
        <f t="shared" si="4"/>
        <v>5688.83</v>
      </c>
      <c r="F22" s="175">
        <f t="shared" si="4"/>
        <v>7347.7699999999959</v>
      </c>
      <c r="G22" s="175">
        <f t="shared" si="4"/>
        <v>5103.0700000000052</v>
      </c>
      <c r="H22" s="175">
        <f t="shared" si="4"/>
        <v>6003.4400000000023</v>
      </c>
      <c r="I22" s="20"/>
      <c r="J22" s="20"/>
      <c r="K22" s="20"/>
      <c r="L22" s="20"/>
    </row>
    <row r="23" spans="1:12" x14ac:dyDescent="0.35">
      <c r="A23" s="40" t="s">
        <v>65</v>
      </c>
      <c r="B23" s="174">
        <v>-854.85</v>
      </c>
      <c r="C23" s="174">
        <v>-1097.5999999999999</v>
      </c>
      <c r="D23" s="174">
        <v>-1102.9100000000001</v>
      </c>
      <c r="E23" s="174">
        <v>-1493.5</v>
      </c>
      <c r="F23" s="174">
        <v>-1790.08</v>
      </c>
      <c r="G23" s="174">
        <v>-1393.36</v>
      </c>
      <c r="H23" s="174">
        <v>-1608.75</v>
      </c>
      <c r="I23" s="20"/>
      <c r="J23" s="20"/>
      <c r="K23" s="20"/>
      <c r="L23" s="20"/>
    </row>
    <row r="24" spans="1:12" x14ac:dyDescent="0.35">
      <c r="A24" s="40" t="s">
        <v>66</v>
      </c>
      <c r="B24" s="175">
        <f t="shared" ref="B24:H24" si="5">SUM(B22:B23)</f>
        <v>2779.1399999999985</v>
      </c>
      <c r="C24" s="175">
        <f t="shared" si="5"/>
        <v>3206.7500000000023</v>
      </c>
      <c r="D24" s="175">
        <f t="shared" si="5"/>
        <v>3084.8100000000004</v>
      </c>
      <c r="E24" s="175">
        <f t="shared" si="5"/>
        <v>4195.33</v>
      </c>
      <c r="F24" s="175">
        <f t="shared" si="5"/>
        <v>5557.689999999996</v>
      </c>
      <c r="G24" s="175">
        <f t="shared" si="5"/>
        <v>3709.7100000000055</v>
      </c>
      <c r="H24" s="175">
        <f t="shared" si="5"/>
        <v>4394.6900000000023</v>
      </c>
      <c r="I24" s="20"/>
      <c r="J24" s="20"/>
      <c r="K24" s="20"/>
      <c r="L24" s="20"/>
    </row>
    <row r="25" spans="1:12" x14ac:dyDescent="0.35">
      <c r="A25" s="40"/>
      <c r="B25" s="136"/>
      <c r="C25" s="136"/>
      <c r="D25" s="136"/>
      <c r="E25" s="136"/>
      <c r="F25" s="136"/>
      <c r="G25" s="136"/>
      <c r="H25" s="136"/>
    </row>
    <row r="26" spans="1:12" x14ac:dyDescent="0.35">
      <c r="A26" s="40" t="s">
        <v>67</v>
      </c>
      <c r="B26" s="177">
        <f t="shared" ref="B26:H26" si="6">-B23/B22</f>
        <v>0.23523730114832467</v>
      </c>
      <c r="C26" s="177">
        <f t="shared" si="6"/>
        <v>0.25499785101118622</v>
      </c>
      <c r="D26" s="177">
        <f t="shared" si="6"/>
        <v>0.26336765590822692</v>
      </c>
      <c r="E26" s="177">
        <f t="shared" si="6"/>
        <v>0.26253201449155628</v>
      </c>
      <c r="F26" s="177">
        <f t="shared" si="6"/>
        <v>0.24362221463110589</v>
      </c>
      <c r="G26" s="177">
        <f t="shared" si="6"/>
        <v>0.27304348166887749</v>
      </c>
      <c r="H26" s="177">
        <f t="shared" si="6"/>
        <v>0.26797136308516439</v>
      </c>
    </row>
  </sheetData>
  <sheetProtection algorithmName="SHA-512" hashValue="bKwfeujtBHIRnvQve6Rb2vGTUyb2WPAIXiVTsGblmYJnIg7xhufbFhfOuwhmXceSGuw1RkWAk0kAlOebD6irwA==" saltValue="09l2xtk6Fxw3w8dLAHo39w==" spinCount="100000" sheet="1" objects="1" scenarios="1"/>
  <mergeCells count="1">
    <mergeCell ref="A1:H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showGridLines="0" workbookViewId="0">
      <selection activeCell="A39" sqref="A39"/>
    </sheetView>
  </sheetViews>
  <sheetFormatPr defaultColWidth="8.81640625" defaultRowHeight="17.5" x14ac:dyDescent="0.35"/>
  <cols>
    <col min="1" max="1" width="44.1796875" style="24" bestFit="1" customWidth="1"/>
    <col min="2" max="2" width="56.7265625" style="24" bestFit="1" customWidth="1"/>
    <col min="3" max="3" width="14.26953125" style="24" customWidth="1"/>
    <col min="4" max="4" width="12.26953125" style="24" customWidth="1"/>
    <col min="5" max="5" width="12.81640625" style="24" customWidth="1"/>
    <col min="6" max="6" width="13.453125" style="24" customWidth="1"/>
    <col min="7" max="7" width="12.81640625" style="24" customWidth="1"/>
    <col min="8" max="8" width="12.453125" style="24" customWidth="1"/>
    <col min="9" max="9" width="12.7265625" style="24" customWidth="1"/>
    <col min="10" max="10" width="51.54296875" style="24" customWidth="1"/>
    <col min="11" max="11" width="246.7265625" style="24" bestFit="1" customWidth="1"/>
    <col min="12" max="13" width="8.81640625" style="24" customWidth="1"/>
    <col min="14" max="16384" width="8.81640625" style="24"/>
  </cols>
  <sheetData>
    <row r="1" spans="1:11" s="23" customFormat="1" ht="24" customHeight="1" x14ac:dyDescent="0.35">
      <c r="A1" s="251" t="s">
        <v>68</v>
      </c>
      <c r="B1" s="253"/>
      <c r="C1" s="253"/>
      <c r="D1" s="253"/>
      <c r="E1" s="253"/>
      <c r="F1" s="253"/>
      <c r="G1" s="253"/>
      <c r="H1" s="253"/>
      <c r="I1" s="253"/>
      <c r="J1" s="21"/>
    </row>
    <row r="2" spans="1:11" s="26" customFormat="1" ht="18" customHeight="1" x14ac:dyDescent="0.35">
      <c r="A2" s="31" t="s">
        <v>46</v>
      </c>
      <c r="B2" s="27"/>
      <c r="C2" s="27"/>
      <c r="D2" s="27"/>
      <c r="E2" s="27"/>
      <c r="F2" s="27"/>
      <c r="G2" s="27"/>
      <c r="H2" s="27"/>
      <c r="I2" s="27"/>
    </row>
    <row r="3" spans="1:11" x14ac:dyDescent="0.35">
      <c r="A3" s="19"/>
    </row>
    <row r="4" spans="1:11" ht="40" customHeight="1" x14ac:dyDescent="0.35">
      <c r="A4" s="96" t="s">
        <v>69</v>
      </c>
      <c r="B4" s="97" t="s">
        <v>70</v>
      </c>
      <c r="C4" s="98" t="s">
        <v>2</v>
      </c>
      <c r="D4" s="98" t="s">
        <v>3</v>
      </c>
      <c r="E4" s="98" t="s">
        <v>4</v>
      </c>
      <c r="F4" s="98" t="s">
        <v>5</v>
      </c>
      <c r="G4" s="98" t="s">
        <v>6</v>
      </c>
      <c r="H4" s="98" t="s">
        <v>7</v>
      </c>
      <c r="I4" s="98" t="s">
        <v>8</v>
      </c>
      <c r="J4" s="96" t="s">
        <v>71</v>
      </c>
      <c r="K4" s="96"/>
    </row>
    <row r="5" spans="1:11" x14ac:dyDescent="0.35">
      <c r="A5" s="48" t="s">
        <v>72</v>
      </c>
      <c r="B5" s="41" t="s">
        <v>73</v>
      </c>
      <c r="C5" s="43">
        <v>563.83000000000004</v>
      </c>
      <c r="D5" s="43">
        <v>346.39</v>
      </c>
      <c r="E5" s="43">
        <v>621.72</v>
      </c>
      <c r="F5" s="43">
        <v>523.1</v>
      </c>
      <c r="G5" s="43">
        <v>829.34</v>
      </c>
      <c r="H5" s="43">
        <v>445.28</v>
      </c>
      <c r="I5" s="43">
        <v>672.83</v>
      </c>
      <c r="J5" s="44" t="s">
        <v>74</v>
      </c>
      <c r="K5" s="42"/>
    </row>
    <row r="6" spans="1:11" x14ac:dyDescent="0.35">
      <c r="A6" s="48" t="s">
        <v>75</v>
      </c>
      <c r="B6" s="41" t="s">
        <v>76</v>
      </c>
      <c r="C6" s="43">
        <v>512.48</v>
      </c>
      <c r="D6" s="43">
        <v>3267.12</v>
      </c>
      <c r="E6" s="43">
        <v>2180.6999999999998</v>
      </c>
      <c r="F6" s="43">
        <v>2697</v>
      </c>
      <c r="G6" s="43">
        <v>3203.41</v>
      </c>
      <c r="H6" s="43">
        <v>3244.96</v>
      </c>
      <c r="I6" s="43">
        <v>6285.83</v>
      </c>
      <c r="J6" s="44" t="s">
        <v>77</v>
      </c>
      <c r="K6" s="42"/>
    </row>
    <row r="7" spans="1:11" ht="31" customHeight="1" x14ac:dyDescent="0.35">
      <c r="A7" s="48" t="s">
        <v>78</v>
      </c>
      <c r="B7" s="41" t="s">
        <v>79</v>
      </c>
      <c r="C7" s="43">
        <v>1795.22</v>
      </c>
      <c r="D7" s="43">
        <v>2602.17</v>
      </c>
      <c r="E7" s="43">
        <v>3871.44</v>
      </c>
      <c r="F7" s="43">
        <v>4636.9399999999996</v>
      </c>
      <c r="G7" s="43">
        <v>4889.05</v>
      </c>
      <c r="H7" s="43">
        <v>4313.6499999999996</v>
      </c>
      <c r="I7" s="43">
        <v>4461.8</v>
      </c>
      <c r="J7" s="44" t="s">
        <v>74</v>
      </c>
      <c r="K7" s="42"/>
    </row>
    <row r="8" spans="1:11" x14ac:dyDescent="0.35">
      <c r="A8" s="48" t="s">
        <v>80</v>
      </c>
      <c r="B8" s="41" t="s">
        <v>81</v>
      </c>
      <c r="C8" s="43">
        <v>3389.81</v>
      </c>
      <c r="D8" s="43">
        <v>3798.6</v>
      </c>
      <c r="E8" s="43">
        <v>6152.98</v>
      </c>
      <c r="F8" s="43">
        <v>6210.64</v>
      </c>
      <c r="G8" s="43">
        <v>5923.41</v>
      </c>
      <c r="H8" s="43">
        <v>6719.27</v>
      </c>
      <c r="I8" s="43">
        <v>5743.69</v>
      </c>
      <c r="J8" s="44" t="s">
        <v>82</v>
      </c>
      <c r="K8" s="42"/>
    </row>
    <row r="9" spans="1:11" ht="31" customHeight="1" x14ac:dyDescent="0.35">
      <c r="A9" s="48" t="s">
        <v>83</v>
      </c>
      <c r="B9" s="41" t="s">
        <v>84</v>
      </c>
      <c r="C9" s="43">
        <v>285.58999999999997</v>
      </c>
      <c r="D9" s="43">
        <v>537.23</v>
      </c>
      <c r="E9" s="43">
        <v>541.25</v>
      </c>
      <c r="F9" s="43">
        <v>553.98</v>
      </c>
      <c r="G9" s="43">
        <v>785.83</v>
      </c>
      <c r="H9" s="43">
        <v>773.71</v>
      </c>
      <c r="I9" s="43">
        <v>796.51</v>
      </c>
      <c r="J9" s="44" t="s">
        <v>77</v>
      </c>
      <c r="K9" s="42"/>
    </row>
    <row r="10" spans="1:11" x14ac:dyDescent="0.35">
      <c r="A10" s="48" t="s">
        <v>85</v>
      </c>
      <c r="B10" s="41" t="s">
        <v>86</v>
      </c>
      <c r="C10" s="43">
        <v>4764.76</v>
      </c>
      <c r="D10" s="43">
        <v>4476.3500000000004</v>
      </c>
      <c r="E10" s="43">
        <v>4184.46</v>
      </c>
      <c r="F10" s="43">
        <v>4145.6499999999996</v>
      </c>
      <c r="G10" s="43">
        <v>4446.2</v>
      </c>
      <c r="H10" s="43">
        <v>6787.62</v>
      </c>
      <c r="I10" s="43">
        <v>7146.23</v>
      </c>
      <c r="J10" s="44" t="s">
        <v>87</v>
      </c>
      <c r="K10" s="42"/>
    </row>
    <row r="11" spans="1:11" ht="31" customHeight="1" x14ac:dyDescent="0.35">
      <c r="A11" s="48" t="s">
        <v>88</v>
      </c>
      <c r="B11" s="41" t="s">
        <v>89</v>
      </c>
      <c r="C11" s="43">
        <v>267.47000000000003</v>
      </c>
      <c r="D11" s="43">
        <v>233.99</v>
      </c>
      <c r="E11" s="43">
        <v>185.99</v>
      </c>
      <c r="F11" s="43">
        <v>187.41</v>
      </c>
      <c r="G11" s="43">
        <v>424.96</v>
      </c>
      <c r="H11" s="43">
        <v>369.18</v>
      </c>
      <c r="I11" s="43">
        <v>256.2</v>
      </c>
      <c r="J11" s="44" t="s">
        <v>90</v>
      </c>
      <c r="K11" s="42"/>
    </row>
    <row r="12" spans="1:11" x14ac:dyDescent="0.35">
      <c r="A12" s="48" t="s">
        <v>91</v>
      </c>
      <c r="B12" s="41" t="s">
        <v>92</v>
      </c>
      <c r="C12" s="43">
        <v>920.09</v>
      </c>
      <c r="D12" s="43">
        <v>845.55</v>
      </c>
      <c r="E12" s="43">
        <v>905.75</v>
      </c>
      <c r="F12" s="43">
        <v>1208.92</v>
      </c>
      <c r="G12" s="43">
        <v>1856.27</v>
      </c>
      <c r="H12" s="43">
        <v>1843.72</v>
      </c>
      <c r="I12" s="43">
        <v>2018.77</v>
      </c>
      <c r="J12" s="44" t="s">
        <v>87</v>
      </c>
      <c r="K12" s="42"/>
    </row>
    <row r="13" spans="1:11" x14ac:dyDescent="0.35">
      <c r="A13" s="48" t="s">
        <v>93</v>
      </c>
      <c r="B13" s="41" t="s">
        <v>94</v>
      </c>
      <c r="C13" s="43">
        <v>2136.5700000000002</v>
      </c>
      <c r="D13" s="43">
        <v>3378.72</v>
      </c>
      <c r="E13" s="43">
        <v>4164.3</v>
      </c>
      <c r="F13" s="43">
        <v>3635.44</v>
      </c>
      <c r="G13" s="43">
        <v>3831.34</v>
      </c>
      <c r="H13" s="43">
        <v>3848</v>
      </c>
      <c r="I13" s="43">
        <v>3863.04</v>
      </c>
      <c r="J13" s="44" t="s">
        <v>95</v>
      </c>
      <c r="K13" s="42"/>
    </row>
    <row r="14" spans="1:11" ht="32.5" customHeight="1" x14ac:dyDescent="0.35">
      <c r="A14" s="48" t="s">
        <v>96</v>
      </c>
      <c r="B14" s="41" t="s">
        <v>97</v>
      </c>
      <c r="C14" s="43">
        <v>1568.41</v>
      </c>
      <c r="D14" s="43">
        <v>1917.03</v>
      </c>
      <c r="E14" s="43">
        <v>2332.6</v>
      </c>
      <c r="F14" s="43">
        <v>2969.27</v>
      </c>
      <c r="G14" s="43">
        <v>3222.4</v>
      </c>
      <c r="H14" s="43">
        <v>3259.77</v>
      </c>
      <c r="I14" s="43">
        <v>3719.16</v>
      </c>
      <c r="J14" s="44" t="s">
        <v>98</v>
      </c>
      <c r="K14" s="42"/>
    </row>
    <row r="15" spans="1:11" x14ac:dyDescent="0.35">
      <c r="A15" s="48" t="s">
        <v>99</v>
      </c>
      <c r="B15" s="41" t="s">
        <v>100</v>
      </c>
      <c r="C15" s="43">
        <v>321.48</v>
      </c>
      <c r="D15" s="43">
        <v>325.7</v>
      </c>
      <c r="E15" s="43">
        <v>731.12</v>
      </c>
      <c r="F15" s="43">
        <v>896.06</v>
      </c>
      <c r="G15" s="43">
        <v>1052.76</v>
      </c>
      <c r="H15" s="43">
        <v>604.13</v>
      </c>
      <c r="I15" s="43">
        <v>1046.0899999999999</v>
      </c>
      <c r="J15" s="44" t="s">
        <v>95</v>
      </c>
      <c r="K15" s="42"/>
    </row>
    <row r="16" spans="1:11" ht="31" customHeight="1" x14ac:dyDescent="0.35">
      <c r="A16" s="48" t="s">
        <v>101</v>
      </c>
      <c r="B16" s="41" t="s">
        <v>102</v>
      </c>
      <c r="C16" s="43">
        <v>0</v>
      </c>
      <c r="D16" s="43">
        <v>0</v>
      </c>
      <c r="E16" s="43">
        <v>0</v>
      </c>
      <c r="F16" s="43">
        <v>0</v>
      </c>
      <c r="G16" s="43">
        <v>0</v>
      </c>
      <c r="H16" s="43">
        <v>0</v>
      </c>
      <c r="I16" s="43">
        <v>0</v>
      </c>
      <c r="J16" s="44" t="s">
        <v>95</v>
      </c>
      <c r="K16" s="42"/>
    </row>
    <row r="17" spans="1:11" x14ac:dyDescent="0.35">
      <c r="A17" s="48" t="s">
        <v>103</v>
      </c>
      <c r="B17" s="41" t="s">
        <v>104</v>
      </c>
      <c r="C17" s="43">
        <v>18.63</v>
      </c>
      <c r="D17" s="43">
        <v>14.53</v>
      </c>
      <c r="E17" s="43">
        <v>44.54</v>
      </c>
      <c r="F17" s="43">
        <v>76.150000000000006</v>
      </c>
      <c r="G17" s="43">
        <v>54.38</v>
      </c>
      <c r="H17" s="43">
        <v>259.62</v>
      </c>
      <c r="I17" s="43">
        <v>1247.17</v>
      </c>
      <c r="J17" s="44" t="s">
        <v>95</v>
      </c>
      <c r="K17" s="42"/>
    </row>
    <row r="18" spans="1:11" ht="31" customHeight="1" x14ac:dyDescent="0.35">
      <c r="A18" s="48" t="s">
        <v>105</v>
      </c>
      <c r="B18" s="41" t="s">
        <v>106</v>
      </c>
      <c r="C18" s="43">
        <v>763.81</v>
      </c>
      <c r="D18" s="43">
        <v>744.54</v>
      </c>
      <c r="E18" s="43">
        <v>811.22</v>
      </c>
      <c r="F18" s="43">
        <v>960.41</v>
      </c>
      <c r="G18" s="43">
        <v>1367.24</v>
      </c>
      <c r="H18" s="43">
        <v>1426.54</v>
      </c>
      <c r="I18" s="43">
        <v>1635.67</v>
      </c>
      <c r="J18" s="44" t="s">
        <v>95</v>
      </c>
      <c r="K18" s="42"/>
    </row>
    <row r="19" spans="1:11" x14ac:dyDescent="0.35">
      <c r="A19" s="48" t="s">
        <v>107</v>
      </c>
      <c r="B19" s="41" t="s">
        <v>108</v>
      </c>
      <c r="C19" s="43">
        <v>427</v>
      </c>
      <c r="D19" s="43">
        <v>401.31</v>
      </c>
      <c r="E19" s="43">
        <v>322.83</v>
      </c>
      <c r="F19" s="43">
        <v>316.17</v>
      </c>
      <c r="G19" s="43">
        <v>328.85</v>
      </c>
      <c r="H19" s="43">
        <v>388.79</v>
      </c>
      <c r="I19" s="43">
        <v>387.52</v>
      </c>
      <c r="J19" s="44" t="s">
        <v>98</v>
      </c>
      <c r="K19" s="42"/>
    </row>
    <row r="20" spans="1:11" x14ac:dyDescent="0.35">
      <c r="A20" s="48" t="s">
        <v>109</v>
      </c>
      <c r="B20" s="41" t="s">
        <v>81</v>
      </c>
      <c r="C20" s="43">
        <v>95.92</v>
      </c>
      <c r="D20" s="43">
        <v>95.92</v>
      </c>
      <c r="E20" s="43">
        <v>95.92</v>
      </c>
      <c r="F20" s="43">
        <v>95.92</v>
      </c>
      <c r="G20" s="43">
        <v>95.92</v>
      </c>
      <c r="H20" s="43">
        <v>95.92</v>
      </c>
      <c r="I20" s="43">
        <v>95.92</v>
      </c>
      <c r="J20" s="44" t="s">
        <v>98</v>
      </c>
      <c r="K20" s="42"/>
    </row>
    <row r="21" spans="1:11" x14ac:dyDescent="0.35">
      <c r="A21" s="48" t="s">
        <v>110</v>
      </c>
      <c r="B21" s="41" t="s">
        <v>111</v>
      </c>
      <c r="C21" s="43">
        <v>10034.24</v>
      </c>
      <c r="D21" s="43">
        <v>12710.37</v>
      </c>
      <c r="E21" s="43">
        <v>13715.64</v>
      </c>
      <c r="F21" s="43">
        <v>15896.31</v>
      </c>
      <c r="G21" s="43">
        <v>18632.38</v>
      </c>
      <c r="H21" s="43">
        <v>19303.89</v>
      </c>
      <c r="I21" s="43">
        <v>21275.67</v>
      </c>
      <c r="J21" s="44" t="s">
        <v>98</v>
      </c>
      <c r="K21" s="42"/>
    </row>
    <row r="22" spans="1:11" ht="18" customHeight="1" x14ac:dyDescent="0.35">
      <c r="A22" s="148" t="s">
        <v>112</v>
      </c>
      <c r="B22" s="149" t="s">
        <v>81</v>
      </c>
      <c r="C22" s="150">
        <v>403.53</v>
      </c>
      <c r="D22" s="150">
        <v>422.86</v>
      </c>
      <c r="E22" s="150">
        <v>387.53</v>
      </c>
      <c r="F22" s="150">
        <v>453.66</v>
      </c>
      <c r="G22" s="150">
        <v>695.38</v>
      </c>
      <c r="H22" s="150">
        <v>659.24</v>
      </c>
      <c r="I22" s="150">
        <v>643.39</v>
      </c>
      <c r="J22" s="151" t="s">
        <v>98</v>
      </c>
      <c r="K22" s="42"/>
    </row>
    <row r="23" spans="1:11" s="25" customFormat="1" ht="18" customHeight="1" x14ac:dyDescent="0.35">
      <c r="A23" s="40" t="s">
        <v>113</v>
      </c>
      <c r="B23" s="40" t="s">
        <v>114</v>
      </c>
      <c r="C23" s="43">
        <v>219</v>
      </c>
      <c r="D23" s="43">
        <v>264.36</v>
      </c>
      <c r="E23" s="43">
        <v>242.61</v>
      </c>
      <c r="F23" s="43">
        <v>320.72000000000003</v>
      </c>
      <c r="G23" s="43">
        <v>254.67</v>
      </c>
      <c r="H23" s="43">
        <v>336.7</v>
      </c>
      <c r="I23" s="43">
        <v>400.85</v>
      </c>
      <c r="J23" s="152" t="s">
        <v>77</v>
      </c>
      <c r="K23" s="85"/>
    </row>
    <row r="24" spans="1:11" x14ac:dyDescent="0.35">
      <c r="A24" s="49" t="s">
        <v>115</v>
      </c>
      <c r="B24" s="50" t="s">
        <v>116</v>
      </c>
      <c r="C24" s="47">
        <v>16154.77</v>
      </c>
      <c r="D24" s="47">
        <v>20369.62</v>
      </c>
      <c r="E24" s="47">
        <v>22984.45</v>
      </c>
      <c r="F24" s="47">
        <v>25798</v>
      </c>
      <c r="G24" s="47">
        <v>29924.09</v>
      </c>
      <c r="H24" s="47">
        <v>30371.37</v>
      </c>
      <c r="I24" s="47">
        <v>34534.49</v>
      </c>
      <c r="J24" s="254"/>
      <c r="K24" s="42"/>
    </row>
    <row r="25" spans="1:11" x14ac:dyDescent="0.35">
      <c r="A25" s="48" t="s">
        <v>117</v>
      </c>
      <c r="B25" s="41" t="s">
        <v>118</v>
      </c>
      <c r="C25" s="45">
        <v>16154.77</v>
      </c>
      <c r="D25" s="45">
        <v>20369.62</v>
      </c>
      <c r="E25" s="45">
        <v>22984.45</v>
      </c>
      <c r="F25" s="45">
        <v>25798</v>
      </c>
      <c r="G25" s="45">
        <v>29924.09</v>
      </c>
      <c r="H25" s="45">
        <v>30371.37</v>
      </c>
      <c r="I25" s="45">
        <v>34534.49</v>
      </c>
      <c r="J25" s="255"/>
      <c r="K25" s="42"/>
    </row>
    <row r="26" spans="1:11" ht="34.15" customHeight="1" x14ac:dyDescent="0.35">
      <c r="A26" s="51" t="s">
        <v>119</v>
      </c>
      <c r="B26" s="34" t="s">
        <v>120</v>
      </c>
      <c r="C26" s="46">
        <f t="shared" ref="C26:I26" si="0">C7+C8+C9-C13-C14</f>
        <v>1765.6399999999996</v>
      </c>
      <c r="D26" s="46">
        <f t="shared" si="0"/>
        <v>1642.2500000000002</v>
      </c>
      <c r="E26" s="46">
        <f t="shared" si="0"/>
        <v>4068.77</v>
      </c>
      <c r="F26" s="46">
        <f t="shared" si="0"/>
        <v>4796.8499999999985</v>
      </c>
      <c r="G26" s="46">
        <f t="shared" si="0"/>
        <v>4544.5499999999993</v>
      </c>
      <c r="H26" s="46">
        <f t="shared" si="0"/>
        <v>4698.8600000000006</v>
      </c>
      <c r="I26" s="46">
        <f t="shared" si="0"/>
        <v>3419.8</v>
      </c>
      <c r="J26" s="255"/>
      <c r="K26" s="42"/>
    </row>
    <row r="27" spans="1:11" ht="31" customHeight="1" x14ac:dyDescent="0.35">
      <c r="A27" s="51" t="s">
        <v>121</v>
      </c>
      <c r="B27" s="34" t="s">
        <v>122</v>
      </c>
      <c r="C27" s="46">
        <f t="shared" ref="C27:I27" si="1">C15+C17+C18-C5-C6</f>
        <v>27.610000000000014</v>
      </c>
      <c r="D27" s="46">
        <f t="shared" si="1"/>
        <v>-2528.7399999999998</v>
      </c>
      <c r="E27" s="46">
        <f t="shared" si="1"/>
        <v>-1215.5399999999997</v>
      </c>
      <c r="F27" s="46">
        <f t="shared" si="1"/>
        <v>-1287.48</v>
      </c>
      <c r="G27" s="46">
        <f t="shared" si="1"/>
        <v>-1558.37</v>
      </c>
      <c r="H27" s="46">
        <f t="shared" si="1"/>
        <v>-1399.95</v>
      </c>
      <c r="I27" s="46">
        <f t="shared" si="1"/>
        <v>-3029.7299999999996</v>
      </c>
      <c r="J27" s="256"/>
      <c r="K27" s="42"/>
    </row>
  </sheetData>
  <sheetProtection algorithmName="SHA-512" hashValue="wluBieNHOZjSwX/mmDJqp9bKXFmXnGfY+S5s69eR8guIt8y5fYuSFOSiiGVOXRaO7M1Ze30vq3ETvz4Uo4vhaw==" saltValue="WiheR7eM+oF0frR02Pr+UA==" spinCount="100000" sheet="1" objects="1" scenarios="1"/>
  <mergeCells count="2">
    <mergeCell ref="A1:I1"/>
    <mergeCell ref="J24:J2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5"/>
  <sheetViews>
    <sheetView showGridLines="0" workbookViewId="0">
      <selection activeCell="I31" sqref="I31"/>
    </sheetView>
  </sheetViews>
  <sheetFormatPr defaultRowHeight="14.5" x14ac:dyDescent="0.35"/>
  <cols>
    <col min="1" max="1" width="66.26953125" bestFit="1" customWidth="1"/>
    <col min="2" max="2" width="32.7265625" bestFit="1" customWidth="1"/>
    <col min="3" max="3" width="13.54296875" bestFit="1" customWidth="1"/>
    <col min="4" max="4" width="12.1796875" bestFit="1" customWidth="1"/>
    <col min="5" max="9" width="13.54296875" bestFit="1" customWidth="1"/>
  </cols>
  <sheetData>
    <row r="1" spans="1:13" s="126" customFormat="1" ht="24" customHeight="1" x14ac:dyDescent="0.35">
      <c r="A1" s="250" t="s">
        <v>123</v>
      </c>
      <c r="B1" s="250"/>
      <c r="C1" s="250"/>
      <c r="D1" s="250"/>
      <c r="E1" s="250"/>
      <c r="F1" s="250"/>
      <c r="G1" s="250"/>
      <c r="H1" s="250"/>
      <c r="I1" s="250"/>
      <c r="J1" s="250"/>
      <c r="K1" s="250"/>
      <c r="L1" s="250"/>
      <c r="M1" s="250"/>
    </row>
    <row r="2" spans="1:13" s="31" customFormat="1" ht="18" customHeight="1" x14ac:dyDescent="0.35">
      <c r="A2" s="257" t="s">
        <v>46</v>
      </c>
      <c r="B2" s="257"/>
      <c r="C2" s="257"/>
      <c r="D2" s="257"/>
      <c r="E2" s="257"/>
      <c r="F2" s="257"/>
      <c r="G2" s="257"/>
      <c r="H2" s="257"/>
      <c r="I2" s="257"/>
      <c r="J2" s="257"/>
      <c r="K2" s="257"/>
      <c r="L2" s="257"/>
      <c r="M2" s="257"/>
    </row>
    <row r="3" spans="1:13" s="24" customFormat="1" ht="17.5" customHeight="1" x14ac:dyDescent="0.35"/>
    <row r="4" spans="1:13" s="24" customFormat="1" ht="36" customHeight="1" x14ac:dyDescent="0.35">
      <c r="A4" s="99" t="s">
        <v>124</v>
      </c>
      <c r="B4" s="100" t="s">
        <v>70</v>
      </c>
      <c r="C4" s="100" t="s">
        <v>2</v>
      </c>
      <c r="D4" s="100" t="s">
        <v>3</v>
      </c>
      <c r="E4" s="100" t="s">
        <v>4</v>
      </c>
      <c r="F4" s="100" t="s">
        <v>5</v>
      </c>
      <c r="G4" s="100" t="s">
        <v>6</v>
      </c>
      <c r="H4" s="100" t="s">
        <v>7</v>
      </c>
      <c r="I4" s="100" t="s">
        <v>8</v>
      </c>
    </row>
    <row r="5" spans="1:13" s="24" customFormat="1" ht="17.5" customHeight="1" x14ac:dyDescent="0.35">
      <c r="A5" s="56" t="s">
        <v>125</v>
      </c>
      <c r="B5" s="57" t="s">
        <v>126</v>
      </c>
      <c r="C5" s="52">
        <v>3038.15</v>
      </c>
      <c r="D5" s="52">
        <v>3683.35</v>
      </c>
      <c r="E5" s="52">
        <v>986.49</v>
      </c>
      <c r="F5" s="52">
        <v>4193.43</v>
      </c>
      <c r="G5" s="52">
        <v>6103.6</v>
      </c>
      <c r="H5" s="52">
        <v>4423.96</v>
      </c>
      <c r="I5" s="52">
        <v>7088.18</v>
      </c>
    </row>
    <row r="6" spans="1:13" s="24" customFormat="1" ht="31" customHeight="1" x14ac:dyDescent="0.35">
      <c r="A6" s="56" t="s">
        <v>127</v>
      </c>
      <c r="B6" s="57" t="s">
        <v>128</v>
      </c>
      <c r="C6" s="52">
        <v>-403.54</v>
      </c>
      <c r="D6" s="52">
        <v>-281.87</v>
      </c>
      <c r="E6" s="52">
        <v>-538.24</v>
      </c>
      <c r="F6" s="52">
        <v>-1273.3699999999999</v>
      </c>
      <c r="G6" s="52">
        <v>-2199.0100000000002</v>
      </c>
      <c r="H6" s="52">
        <v>-1805.32</v>
      </c>
      <c r="I6" s="52">
        <v>-1467.02</v>
      </c>
    </row>
    <row r="7" spans="1:13" s="24" customFormat="1" ht="31" customHeight="1" x14ac:dyDescent="0.35">
      <c r="A7" s="56" t="s">
        <v>129</v>
      </c>
      <c r="B7" s="57" t="s">
        <v>128</v>
      </c>
      <c r="C7" s="52">
        <v>36.6</v>
      </c>
      <c r="D7" s="52">
        <v>27.61</v>
      </c>
      <c r="E7" s="52">
        <v>39.58</v>
      </c>
      <c r="F7" s="52">
        <v>25.92</v>
      </c>
      <c r="G7" s="52">
        <v>5.13</v>
      </c>
      <c r="H7" s="52">
        <v>10.1</v>
      </c>
      <c r="I7" s="52">
        <v>3.2</v>
      </c>
    </row>
    <row r="8" spans="1:13" s="24" customFormat="1" ht="31" customHeight="1" x14ac:dyDescent="0.35">
      <c r="A8" s="56" t="s">
        <v>130</v>
      </c>
      <c r="B8" s="57" t="s">
        <v>128</v>
      </c>
      <c r="C8" s="52">
        <v>-10.15</v>
      </c>
      <c r="D8" s="52">
        <v>-6.84</v>
      </c>
      <c r="E8" s="52">
        <v>-12.46</v>
      </c>
      <c r="F8" s="52">
        <v>-172.24</v>
      </c>
      <c r="G8" s="52">
        <v>-297.07</v>
      </c>
      <c r="H8" s="52">
        <v>-24.75</v>
      </c>
      <c r="I8" s="52">
        <v>-20.3</v>
      </c>
    </row>
    <row r="9" spans="1:13" s="24" customFormat="1" ht="17.5" customHeight="1" x14ac:dyDescent="0.35">
      <c r="A9" s="56" t="s">
        <v>131</v>
      </c>
      <c r="B9" s="57" t="s">
        <v>126</v>
      </c>
      <c r="C9" s="52">
        <v>-521.41999999999996</v>
      </c>
      <c r="D9" s="52">
        <v>-547.79</v>
      </c>
      <c r="E9" s="52">
        <v>-321.69</v>
      </c>
      <c r="F9" s="52">
        <v>-1274.6400000000001</v>
      </c>
      <c r="G9" s="52">
        <v>-2517.63</v>
      </c>
      <c r="H9" s="52">
        <v>-874.12</v>
      </c>
      <c r="I9" s="52">
        <v>-1334.07</v>
      </c>
    </row>
    <row r="10" spans="1:13" s="24" customFormat="1" ht="17.5" customHeight="1" x14ac:dyDescent="0.35">
      <c r="A10" s="56" t="s">
        <v>132</v>
      </c>
      <c r="B10" s="57" t="s">
        <v>133</v>
      </c>
      <c r="C10" s="52">
        <v>17.91</v>
      </c>
      <c r="D10" s="52">
        <v>2.14</v>
      </c>
      <c r="E10" s="52">
        <v>39.869999999999997</v>
      </c>
      <c r="F10" s="52">
        <v>94</v>
      </c>
      <c r="G10" s="52">
        <v>5.91</v>
      </c>
      <c r="H10" s="52">
        <v>219.84</v>
      </c>
      <c r="I10" s="52">
        <v>993.41</v>
      </c>
    </row>
    <row r="11" spans="1:13" s="24" customFormat="1" ht="17.5" customHeight="1" x14ac:dyDescent="0.35">
      <c r="A11" s="56" t="s">
        <v>134</v>
      </c>
      <c r="B11" s="57" t="s">
        <v>133</v>
      </c>
      <c r="C11" s="52">
        <v>-10.49</v>
      </c>
      <c r="D11" s="52">
        <v>-14.21</v>
      </c>
      <c r="E11" s="52">
        <v>-7.89</v>
      </c>
      <c r="F11" s="52">
        <v>-15.55</v>
      </c>
      <c r="G11" s="52">
        <v>-14.17</v>
      </c>
      <c r="H11" s="52">
        <v>-21.16</v>
      </c>
      <c r="I11" s="52">
        <v>-32.43</v>
      </c>
    </row>
    <row r="12" spans="1:13" s="24" customFormat="1" ht="17.5" customHeight="1" x14ac:dyDescent="0.35">
      <c r="A12" s="56" t="s">
        <v>135</v>
      </c>
      <c r="B12" s="57" t="s">
        <v>133</v>
      </c>
      <c r="C12" s="52">
        <v>-268.79000000000002</v>
      </c>
      <c r="D12" s="52">
        <v>37.78</v>
      </c>
      <c r="E12" s="52">
        <v>292.68</v>
      </c>
      <c r="F12" s="52">
        <v>159.76</v>
      </c>
      <c r="G12" s="52">
        <v>94.98</v>
      </c>
      <c r="H12" s="52">
        <v>-406.41</v>
      </c>
      <c r="I12" s="52">
        <v>285.44</v>
      </c>
    </row>
    <row r="13" spans="1:13" s="24" customFormat="1" ht="31" customHeight="1" x14ac:dyDescent="0.35">
      <c r="A13" s="56" t="s">
        <v>136</v>
      </c>
      <c r="B13" s="57" t="s">
        <v>133</v>
      </c>
      <c r="C13" s="52">
        <v>-203.13</v>
      </c>
      <c r="D13" s="52">
        <v>115.5</v>
      </c>
      <c r="E13" s="52">
        <v>85.35</v>
      </c>
      <c r="F13" s="52">
        <v>-8.9700000000000006</v>
      </c>
      <c r="G13" s="52">
        <v>-83.65</v>
      </c>
      <c r="H13" s="52">
        <v>194.74</v>
      </c>
      <c r="I13" s="52">
        <v>-419.89</v>
      </c>
    </row>
    <row r="14" spans="1:13" s="24" customFormat="1" ht="17.5" customHeight="1" x14ac:dyDescent="0.35">
      <c r="A14" s="56" t="s">
        <v>137</v>
      </c>
      <c r="B14" s="57" t="s">
        <v>133</v>
      </c>
      <c r="C14" s="52">
        <v>-179.07</v>
      </c>
      <c r="D14" s="52">
        <v>-202.95</v>
      </c>
      <c r="E14" s="52">
        <v>-221.4</v>
      </c>
      <c r="F14" s="52">
        <v>-255.72</v>
      </c>
      <c r="G14" s="52">
        <v>-285.63</v>
      </c>
      <c r="H14" s="52">
        <v>-324.62</v>
      </c>
      <c r="I14" s="52">
        <v>-339.78</v>
      </c>
    </row>
    <row r="15" spans="1:13" s="24" customFormat="1" ht="31" customHeight="1" x14ac:dyDescent="0.35">
      <c r="A15" s="56" t="s">
        <v>138</v>
      </c>
      <c r="B15" s="57" t="s">
        <v>133</v>
      </c>
      <c r="C15" s="52">
        <v>-100.89</v>
      </c>
      <c r="D15" s="52">
        <v>-89.31</v>
      </c>
      <c r="E15" s="52">
        <v>-93.56</v>
      </c>
      <c r="F15" s="52">
        <v>-141.94999999999999</v>
      </c>
      <c r="G15" s="52">
        <v>-190.57</v>
      </c>
      <c r="H15" s="52">
        <v>-203.19</v>
      </c>
      <c r="I15" s="52">
        <v>-228.33</v>
      </c>
    </row>
    <row r="16" spans="1:13" s="24" customFormat="1" ht="31" customHeight="1" x14ac:dyDescent="0.35">
      <c r="A16" s="56" t="s">
        <v>139</v>
      </c>
      <c r="B16" s="57" t="s">
        <v>133</v>
      </c>
      <c r="C16" s="52">
        <v>-2120.71</v>
      </c>
      <c r="D16" s="52">
        <v>-499.35</v>
      </c>
      <c r="E16" s="52">
        <v>-1762.8</v>
      </c>
      <c r="F16" s="52">
        <v>-1936.05</v>
      </c>
      <c r="G16" s="52">
        <v>-2550.88</v>
      </c>
      <c r="H16" s="52">
        <v>-3140.21</v>
      </c>
      <c r="I16" s="52">
        <v>-2425.38</v>
      </c>
    </row>
    <row r="17" spans="1:9" s="24" customFormat="1" ht="17.5" customHeight="1" x14ac:dyDescent="0.35">
      <c r="A17" s="56" t="s">
        <v>140</v>
      </c>
      <c r="B17" s="57" t="s">
        <v>126</v>
      </c>
      <c r="C17" s="52">
        <v>-2871.46</v>
      </c>
      <c r="D17" s="52">
        <v>-650.4</v>
      </c>
      <c r="E17" s="52">
        <v>-1807.61</v>
      </c>
      <c r="F17" s="52">
        <v>-2140.0500000000002</v>
      </c>
      <c r="G17" s="52">
        <v>-2982.5</v>
      </c>
      <c r="H17" s="52">
        <v>-3752.58</v>
      </c>
      <c r="I17" s="52">
        <v>-2376.5100000000002</v>
      </c>
    </row>
    <row r="18" spans="1:9" s="24" customFormat="1" ht="17.5" customHeight="1" x14ac:dyDescent="0.35">
      <c r="A18" s="56" t="s">
        <v>141</v>
      </c>
      <c r="B18" s="57" t="s">
        <v>126</v>
      </c>
      <c r="C18" s="52">
        <v>-354.73</v>
      </c>
      <c r="D18" s="52">
        <v>2485.16</v>
      </c>
      <c r="E18" s="52">
        <v>-1142.81</v>
      </c>
      <c r="F18" s="52">
        <v>778.74</v>
      </c>
      <c r="G18" s="52">
        <v>603.47</v>
      </c>
      <c r="H18" s="52">
        <v>-202.74</v>
      </c>
      <c r="I18" s="52">
        <v>3377.6</v>
      </c>
    </row>
    <row r="19" spans="1:9" s="24" customFormat="1" ht="17.5" customHeight="1" x14ac:dyDescent="0.35">
      <c r="A19" s="56" t="s">
        <v>142</v>
      </c>
      <c r="B19" s="57" t="s">
        <v>126</v>
      </c>
      <c r="C19" s="52">
        <v>1279.97</v>
      </c>
      <c r="D19" s="52">
        <v>928.75</v>
      </c>
      <c r="E19" s="52">
        <v>3421.16</v>
      </c>
      <c r="F19" s="52">
        <v>2283.29</v>
      </c>
      <c r="G19" s="52">
        <v>3054.33</v>
      </c>
      <c r="H19" s="52">
        <v>3626.95</v>
      </c>
      <c r="I19" s="52">
        <v>3357.42</v>
      </c>
    </row>
    <row r="20" spans="1:9" s="24" customFormat="1" ht="17.5" customHeight="1" x14ac:dyDescent="0.35">
      <c r="A20" s="56" t="s">
        <v>143</v>
      </c>
      <c r="B20" s="57" t="s">
        <v>126</v>
      </c>
      <c r="C20" s="52">
        <v>3.51</v>
      </c>
      <c r="D20" s="52">
        <v>7.25</v>
      </c>
      <c r="E20" s="52">
        <v>4.9400000000000004</v>
      </c>
      <c r="F20" s="52">
        <v>-7.7</v>
      </c>
      <c r="G20" s="52">
        <v>-30.85</v>
      </c>
      <c r="H20" s="52">
        <v>-66.790000000000006</v>
      </c>
      <c r="I20" s="52">
        <v>5.84</v>
      </c>
    </row>
    <row r="21" spans="1:9" s="24" customFormat="1" ht="31" customHeight="1" x14ac:dyDescent="0.35">
      <c r="A21" s="56" t="s">
        <v>144</v>
      </c>
      <c r="B21" s="57" t="s">
        <v>126</v>
      </c>
      <c r="C21" s="52">
        <v>928.75</v>
      </c>
      <c r="D21" s="52">
        <v>3421.16</v>
      </c>
      <c r="E21" s="52">
        <v>2283.29</v>
      </c>
      <c r="F21" s="52">
        <v>3054.33</v>
      </c>
      <c r="G21" s="52">
        <v>3626.95</v>
      </c>
      <c r="H21" s="52">
        <v>3357.42</v>
      </c>
      <c r="I21" s="52">
        <v>6740.86</v>
      </c>
    </row>
    <row r="22" spans="1:9" s="24" customFormat="1" ht="31" customHeight="1" x14ac:dyDescent="0.35">
      <c r="A22" s="53" t="s">
        <v>145</v>
      </c>
      <c r="B22" s="54" t="s">
        <v>146</v>
      </c>
      <c r="C22" s="55">
        <f t="shared" ref="C22:I22" si="0">-C6</f>
        <v>403.54</v>
      </c>
      <c r="D22" s="55">
        <f t="shared" si="0"/>
        <v>281.87</v>
      </c>
      <c r="E22" s="55">
        <f t="shared" si="0"/>
        <v>538.24</v>
      </c>
      <c r="F22" s="55">
        <f t="shared" si="0"/>
        <v>1273.3699999999999</v>
      </c>
      <c r="G22" s="55">
        <f t="shared" si="0"/>
        <v>2199.0100000000002</v>
      </c>
      <c r="H22" s="55">
        <f t="shared" si="0"/>
        <v>1805.32</v>
      </c>
      <c r="I22" s="55">
        <f t="shared" si="0"/>
        <v>1467.02</v>
      </c>
    </row>
    <row r="23" spans="1:9" s="24" customFormat="1" ht="46.5" customHeight="1" x14ac:dyDescent="0.35">
      <c r="A23" s="53" t="s">
        <v>147</v>
      </c>
      <c r="B23" s="54" t="s">
        <v>148</v>
      </c>
      <c r="C23" s="55">
        <f t="shared" ref="C23:I23" si="1">-(C6+C8)</f>
        <v>413.69</v>
      </c>
      <c r="D23" s="55">
        <f t="shared" si="1"/>
        <v>288.70999999999998</v>
      </c>
      <c r="E23" s="55">
        <f t="shared" si="1"/>
        <v>550.70000000000005</v>
      </c>
      <c r="F23" s="55">
        <f t="shared" si="1"/>
        <v>1445.61</v>
      </c>
      <c r="G23" s="55">
        <f t="shared" si="1"/>
        <v>2496.0800000000004</v>
      </c>
      <c r="H23" s="55">
        <f t="shared" si="1"/>
        <v>1830.07</v>
      </c>
      <c r="I23" s="55">
        <f t="shared" si="1"/>
        <v>1487.32</v>
      </c>
    </row>
    <row r="24" spans="1:9" s="24" customFormat="1" ht="31" customHeight="1" x14ac:dyDescent="0.35">
      <c r="A24" s="53" t="s">
        <v>36</v>
      </c>
      <c r="B24" s="54" t="s">
        <v>149</v>
      </c>
      <c r="C24" s="55">
        <f t="shared" ref="C24:I24" si="2">C5-C22</f>
        <v>2634.61</v>
      </c>
      <c r="D24" s="55">
        <f t="shared" si="2"/>
        <v>3401.48</v>
      </c>
      <c r="E24" s="55">
        <f t="shared" si="2"/>
        <v>448.25</v>
      </c>
      <c r="F24" s="55">
        <f t="shared" si="2"/>
        <v>2920.0600000000004</v>
      </c>
      <c r="G24" s="55">
        <f t="shared" si="2"/>
        <v>3904.59</v>
      </c>
      <c r="H24" s="55">
        <f t="shared" si="2"/>
        <v>2618.6400000000003</v>
      </c>
      <c r="I24" s="55">
        <f t="shared" si="2"/>
        <v>5621.16</v>
      </c>
    </row>
    <row r="25" spans="1:9" s="24" customFormat="1" ht="31" customHeight="1" x14ac:dyDescent="0.35">
      <c r="A25" s="53" t="s">
        <v>150</v>
      </c>
      <c r="B25" s="54" t="s">
        <v>151</v>
      </c>
      <c r="C25" s="55">
        <f t="shared" ref="C25:I25" si="3">C5-C23</f>
        <v>2624.46</v>
      </c>
      <c r="D25" s="55">
        <f t="shared" si="3"/>
        <v>3394.64</v>
      </c>
      <c r="E25" s="55">
        <f t="shared" si="3"/>
        <v>435.78999999999996</v>
      </c>
      <c r="F25" s="55">
        <f t="shared" si="3"/>
        <v>2747.8200000000006</v>
      </c>
      <c r="G25" s="55">
        <f t="shared" si="3"/>
        <v>3607.52</v>
      </c>
      <c r="H25" s="55">
        <f t="shared" si="3"/>
        <v>2593.8900000000003</v>
      </c>
      <c r="I25" s="55">
        <f t="shared" si="3"/>
        <v>5600.8600000000006</v>
      </c>
    </row>
  </sheetData>
  <sheetProtection algorithmName="SHA-512" hashValue="2pwhgB1lBD2OVKih9Ac0y5Eb4aFzIGecYkyi3vbqGVuU5K2gRXiJoPscqF4xnhWLSVerpx8+3NKOZyRk5VmDaw==" saltValue="vONRxE3TcPbtFzVueYUrcg==" spinCount="100000" sheet="1" objects="1" scenarios="1"/>
  <mergeCells count="2">
    <mergeCell ref="A2:M2"/>
    <mergeCell ref="A1:M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89"/>
  <sheetViews>
    <sheetView showGridLines="0" tabSelected="1" workbookViewId="0">
      <selection activeCell="B5" sqref="A1:XFD1048576"/>
    </sheetView>
  </sheetViews>
  <sheetFormatPr defaultColWidth="9.1796875" defaultRowHeight="17.5" x14ac:dyDescent="0.35"/>
  <cols>
    <col min="1" max="1" width="56" style="3" bestFit="1" customWidth="1"/>
    <col min="2" max="8" width="15" style="3" bestFit="1" customWidth="1"/>
    <col min="9" max="9" width="2" style="3" customWidth="1"/>
    <col min="10" max="14" width="15" style="3" bestFit="1" customWidth="1"/>
    <col min="15" max="15" width="119" style="3" bestFit="1" customWidth="1"/>
    <col min="16" max="16" width="20" style="3" customWidth="1"/>
    <col min="17" max="17" width="2.81640625" style="3" customWidth="1"/>
    <col min="18" max="18" width="2.1796875" style="3" customWidth="1"/>
    <col min="19" max="19" width="10.26953125" style="3" customWidth="1"/>
    <col min="20" max="20" width="29.7265625" style="3" customWidth="1"/>
    <col min="21" max="21" width="20" style="3" customWidth="1"/>
    <col min="22" max="22" width="9.1796875" style="3" customWidth="1"/>
    <col min="23" max="23" width="20" style="3" customWidth="1"/>
    <col min="24" max="26" width="9.1796875" style="3" customWidth="1"/>
    <col min="27" max="16384" width="9.1796875" style="3"/>
  </cols>
  <sheetData>
    <row r="1" spans="1:15" s="126" customFormat="1" ht="24" customHeight="1" x14ac:dyDescent="0.35">
      <c r="A1" s="250" t="s">
        <v>152</v>
      </c>
      <c r="B1" s="250"/>
      <c r="C1" s="250"/>
      <c r="D1" s="250"/>
      <c r="E1" s="250"/>
      <c r="F1" s="250"/>
      <c r="G1" s="250"/>
      <c r="H1" s="250"/>
      <c r="I1" s="250"/>
      <c r="J1" s="250"/>
      <c r="K1" s="250"/>
      <c r="L1" s="250"/>
      <c r="M1" s="250"/>
      <c r="N1" s="250"/>
    </row>
    <row r="2" spans="1:15" s="31" customFormat="1" ht="18" customHeight="1" x14ac:dyDescent="0.35">
      <c r="A2" s="257" t="s">
        <v>46</v>
      </c>
      <c r="B2" s="257"/>
      <c r="C2" s="257"/>
      <c r="D2" s="257"/>
      <c r="E2" s="257"/>
      <c r="F2" s="257"/>
      <c r="G2" s="257"/>
      <c r="H2" s="257"/>
      <c r="I2" s="257"/>
      <c r="J2" s="257"/>
      <c r="K2" s="257"/>
      <c r="L2" s="257"/>
      <c r="M2" s="257"/>
      <c r="N2" s="257"/>
    </row>
    <row r="3" spans="1:15" s="69" customFormat="1" ht="18" customHeight="1" x14ac:dyDescent="0.35"/>
    <row r="4" spans="1:15" ht="18" customHeight="1" x14ac:dyDescent="0.4">
      <c r="A4" s="102" t="s">
        <v>153</v>
      </c>
      <c r="B4" s="245">
        <v>2</v>
      </c>
      <c r="C4" s="13"/>
      <c r="D4" s="102" t="s">
        <v>154</v>
      </c>
      <c r="E4" s="103" t="s">
        <v>155</v>
      </c>
    </row>
    <row r="5" spans="1:15" ht="18" customHeight="1" x14ac:dyDescent="0.4">
      <c r="A5" s="13"/>
      <c r="B5" s="13"/>
      <c r="C5" s="13"/>
      <c r="D5" s="102" t="s">
        <v>156</v>
      </c>
      <c r="E5" s="102" t="s">
        <v>157</v>
      </c>
    </row>
    <row r="6" spans="1:15" s="7" customFormat="1" ht="18" customHeight="1" x14ac:dyDescent="0.4">
      <c r="A6" s="13"/>
      <c r="B6" s="13"/>
      <c r="C6" s="13"/>
      <c r="D6" s="102" t="s">
        <v>158</v>
      </c>
      <c r="E6" s="103" t="s">
        <v>159</v>
      </c>
      <c r="J6" s="72"/>
      <c r="K6" s="72"/>
      <c r="L6" s="72"/>
      <c r="M6" s="72"/>
      <c r="N6" s="72"/>
    </row>
    <row r="7" spans="1:15" s="7" customFormat="1" ht="18" customHeight="1" x14ac:dyDescent="0.4">
      <c r="A7" s="6"/>
      <c r="B7" s="6"/>
      <c r="C7" s="6"/>
      <c r="D7" s="70"/>
      <c r="E7" s="71"/>
      <c r="J7" s="260" t="s">
        <v>160</v>
      </c>
      <c r="K7" s="261"/>
      <c r="L7" s="261"/>
      <c r="M7" s="261"/>
      <c r="N7" s="261"/>
    </row>
    <row r="8" spans="1:15" s="7" customFormat="1" ht="18" customHeight="1" x14ac:dyDescent="0.4">
      <c r="A8" s="6"/>
      <c r="B8" s="6"/>
      <c r="C8" s="6"/>
      <c r="D8" s="70"/>
      <c r="E8" s="71"/>
      <c r="J8" s="243">
        <v>1</v>
      </c>
      <c r="K8" s="243">
        <v>2</v>
      </c>
      <c r="L8" s="243">
        <v>3</v>
      </c>
      <c r="M8" s="243">
        <v>4</v>
      </c>
      <c r="N8" s="243">
        <v>5</v>
      </c>
    </row>
    <row r="9" spans="1:15" ht="18" customHeight="1" x14ac:dyDescent="0.4">
      <c r="A9" s="101" t="s">
        <v>161</v>
      </c>
      <c r="B9" s="101" t="s">
        <v>15</v>
      </c>
      <c r="C9" s="101" t="s">
        <v>20</v>
      </c>
      <c r="D9" s="101" t="s">
        <v>23</v>
      </c>
      <c r="E9" s="101" t="s">
        <v>28</v>
      </c>
      <c r="F9" s="101" t="s">
        <v>33</v>
      </c>
      <c r="G9" s="101" t="s">
        <v>38</v>
      </c>
      <c r="H9" s="101" t="s">
        <v>42</v>
      </c>
      <c r="I9" s="122"/>
      <c r="J9" s="101" t="s">
        <v>162</v>
      </c>
      <c r="K9" s="101" t="s">
        <v>163</v>
      </c>
      <c r="L9" s="101" t="s">
        <v>164</v>
      </c>
      <c r="M9" s="101" t="s">
        <v>165</v>
      </c>
      <c r="N9" s="101" t="s">
        <v>166</v>
      </c>
      <c r="O9" s="101" t="s">
        <v>167</v>
      </c>
    </row>
    <row r="11" spans="1:15" x14ac:dyDescent="0.35">
      <c r="A11" s="153" t="s">
        <v>168</v>
      </c>
      <c r="B11" s="178">
        <f>'Historical P&amp;L'!B8</f>
        <v>20211.25</v>
      </c>
      <c r="C11" s="178">
        <f>'Historical P&amp;L'!C8</f>
        <v>21712.79</v>
      </c>
      <c r="D11" s="178">
        <f>'Historical P&amp;L'!D8</f>
        <v>29101.279999999999</v>
      </c>
      <c r="E11" s="178">
        <f>'Historical P&amp;L'!E8</f>
        <v>34488.590000000004</v>
      </c>
      <c r="F11" s="178">
        <f>'Historical P&amp;L'!F8</f>
        <v>35494.729999999996</v>
      </c>
      <c r="G11" s="178">
        <f>'Historical P&amp;L'!G8</f>
        <v>33905.620000000003</v>
      </c>
      <c r="H11" s="178">
        <f>'Historical P&amp;L'!H8</f>
        <v>35583.54</v>
      </c>
      <c r="I11" s="74"/>
      <c r="J11" s="178">
        <f>(1+J12)*H11</f>
        <v>38074.387800000004</v>
      </c>
      <c r="K11" s="178">
        <f>(1+K12)*J11</f>
        <v>40644.408976500003</v>
      </c>
      <c r="L11" s="178">
        <f>(1+L12)*K11</f>
        <v>43286.295559972503</v>
      </c>
      <c r="M11" s="178">
        <f>(1+M12)*L11</f>
        <v>45991.689032470786</v>
      </c>
      <c r="N11" s="178">
        <f>(1+N12)*M11</f>
        <v>48751.190374419035</v>
      </c>
      <c r="O11" s="58"/>
    </row>
    <row r="12" spans="1:15" x14ac:dyDescent="0.35">
      <c r="A12" s="153" t="s">
        <v>169</v>
      </c>
      <c r="B12" s="66"/>
      <c r="C12" s="179">
        <f t="shared" ref="C12:H12" si="0">C11/B11-1</f>
        <v>7.4292287711052118E-2</v>
      </c>
      <c r="D12" s="179">
        <f t="shared" si="0"/>
        <v>0.34028284711453471</v>
      </c>
      <c r="E12" s="179">
        <f t="shared" si="0"/>
        <v>0.18512278497715573</v>
      </c>
      <c r="F12" s="179">
        <f t="shared" si="0"/>
        <v>2.9173126532571869E-2</v>
      </c>
      <c r="G12" s="179">
        <f t="shared" si="0"/>
        <v>-4.4770308155604899E-2</v>
      </c>
      <c r="H12" s="179">
        <f t="shared" si="0"/>
        <v>4.9487960992897317E-2</v>
      </c>
      <c r="I12" s="42"/>
      <c r="J12" s="179">
        <f>CHOOSE($B$4,J14,J15,J16)</f>
        <v>7.0000000000000007E-2</v>
      </c>
      <c r="K12" s="179">
        <f>CHOOSE($B$4,K14,K15,K16)</f>
        <v>6.7500000000000004E-2</v>
      </c>
      <c r="L12" s="179">
        <f>CHOOSE($B$4,L14,L15,L16)</f>
        <v>6.5000000000000002E-2</v>
      </c>
      <c r="M12" s="179">
        <f>CHOOSE($B$4,M14,M15,M16)</f>
        <v>6.25E-2</v>
      </c>
      <c r="N12" s="179">
        <f>CHOOSE($B$4,N14,N15,N16)</f>
        <v>0.06</v>
      </c>
      <c r="O12" s="58"/>
    </row>
    <row r="13" spans="1:15" x14ac:dyDescent="0.35">
      <c r="A13" s="153"/>
      <c r="B13" s="42"/>
      <c r="C13" s="42"/>
      <c r="D13" s="42"/>
      <c r="E13" s="42"/>
      <c r="F13" s="42"/>
      <c r="G13" s="42"/>
      <c r="H13" s="42"/>
      <c r="I13" s="42"/>
      <c r="J13" s="42"/>
      <c r="K13" s="42"/>
      <c r="L13" s="42"/>
      <c r="M13" s="42"/>
      <c r="N13" s="42"/>
      <c r="O13" s="58"/>
    </row>
    <row r="14" spans="1:15" x14ac:dyDescent="0.35">
      <c r="A14" s="153"/>
      <c r="B14" s="67"/>
      <c r="C14" s="67"/>
      <c r="D14" s="67"/>
      <c r="E14" s="67"/>
      <c r="F14" s="67"/>
      <c r="G14" s="67"/>
      <c r="H14" s="67"/>
      <c r="I14" s="42"/>
      <c r="J14" s="180">
        <f>J15+2%</f>
        <v>9.0000000000000011E-2</v>
      </c>
      <c r="K14" s="180">
        <f>K15+2%</f>
        <v>8.7500000000000008E-2</v>
      </c>
      <c r="L14" s="180">
        <f>L15+2%</f>
        <v>8.5000000000000006E-2</v>
      </c>
      <c r="M14" s="180">
        <f>M15+2%</f>
        <v>8.2500000000000004E-2</v>
      </c>
      <c r="N14" s="180">
        <f>N15+2%</f>
        <v>0.08</v>
      </c>
      <c r="O14" s="58"/>
    </row>
    <row r="15" spans="1:15" x14ac:dyDescent="0.35">
      <c r="A15" s="153"/>
      <c r="B15" s="67"/>
      <c r="C15" s="67"/>
      <c r="D15" s="67"/>
      <c r="E15" s="67"/>
      <c r="F15" s="67"/>
      <c r="G15" s="67"/>
      <c r="H15" s="67"/>
      <c r="I15" s="42"/>
      <c r="J15" s="181">
        <f>7%+((6%-7%)/(5-1))*(J8-1)</f>
        <v>7.0000000000000007E-2</v>
      </c>
      <c r="K15" s="181">
        <f>7%+((6%-7%)/(5-1))*(K8-1)</f>
        <v>6.7500000000000004E-2</v>
      </c>
      <c r="L15" s="181">
        <f>7%+((6%-7%)/(5-1))*(L8-1)</f>
        <v>6.5000000000000002E-2</v>
      </c>
      <c r="M15" s="181">
        <f>7%+((6%-7%)/(5-1))*(M8-1)</f>
        <v>6.25E-2</v>
      </c>
      <c r="N15" s="181">
        <f>7%+((6%-7%)/(5-1))*(N8-1)</f>
        <v>0.06</v>
      </c>
      <c r="O15" s="58"/>
    </row>
    <row r="16" spans="1:15" x14ac:dyDescent="0.35">
      <c r="A16" s="153"/>
      <c r="B16" s="67"/>
      <c r="C16" s="67"/>
      <c r="D16" s="67"/>
      <c r="E16" s="67"/>
      <c r="F16" s="67"/>
      <c r="G16" s="67"/>
      <c r="H16" s="67"/>
      <c r="I16" s="42"/>
      <c r="J16" s="180">
        <f>J15-2%</f>
        <v>0.05</v>
      </c>
      <c r="K16" s="180">
        <f>K15-2%</f>
        <v>4.7500000000000001E-2</v>
      </c>
      <c r="L16" s="180">
        <f>L15-2%</f>
        <v>4.4999999999999998E-2</v>
      </c>
      <c r="M16" s="180">
        <f>M15-2%</f>
        <v>4.2499999999999996E-2</v>
      </c>
      <c r="N16" s="180">
        <f>N15-2%</f>
        <v>3.9999999999999994E-2</v>
      </c>
      <c r="O16" s="58"/>
    </row>
    <row r="17" spans="1:15" x14ac:dyDescent="0.35">
      <c r="A17" s="153"/>
      <c r="B17" s="42"/>
      <c r="C17" s="42"/>
      <c r="D17" s="42"/>
      <c r="E17" s="42"/>
      <c r="F17" s="42"/>
      <c r="G17" s="42"/>
      <c r="H17" s="42"/>
      <c r="I17" s="42"/>
      <c r="J17" s="42"/>
      <c r="K17" s="42"/>
      <c r="L17" s="42"/>
      <c r="M17" s="42"/>
      <c r="N17" s="42"/>
      <c r="O17" s="58"/>
    </row>
    <row r="18" spans="1:15" x14ac:dyDescent="0.35">
      <c r="A18" s="153" t="s">
        <v>170</v>
      </c>
      <c r="B18" s="178">
        <f>SUM('Historical P&amp;L'!B9:B11)</f>
        <v>-11383.460000000001</v>
      </c>
      <c r="C18" s="178">
        <f>SUM('Historical P&amp;L'!C9:C11)</f>
        <v>-12097.23</v>
      </c>
      <c r="D18" s="178">
        <f>SUM('Historical P&amp;L'!D9:D11)</f>
        <v>-18300.75</v>
      </c>
      <c r="E18" s="178">
        <f>SUM('Historical P&amp;L'!E9:E11)</f>
        <v>-21156.500000000004</v>
      </c>
      <c r="F18" s="178">
        <f>SUM('Historical P&amp;L'!F9:F11)</f>
        <v>-20090.21</v>
      </c>
      <c r="G18" s="178">
        <f>SUM('Historical P&amp;L'!G9:G11)</f>
        <v>-19515.78</v>
      </c>
      <c r="H18" s="178">
        <f>SUM('Historical P&amp;L'!H9:H11)</f>
        <v>-20001.78</v>
      </c>
      <c r="I18" s="74"/>
      <c r="J18" s="178">
        <f>-J19*J11</f>
        <v>-22117.818931691014</v>
      </c>
      <c r="K18" s="178">
        <f>-K19*K11</f>
        <v>-23610.771709580156</v>
      </c>
      <c r="L18" s="178">
        <f>-L19*L11</f>
        <v>-25145.471870702866</v>
      </c>
      <c r="M18" s="178">
        <f>-M19*M11</f>
        <v>-26717.063862621795</v>
      </c>
      <c r="N18" s="178">
        <f>-N19*N11</f>
        <v>-28320.087694379105</v>
      </c>
      <c r="O18" s="58"/>
    </row>
    <row r="19" spans="1:15" x14ac:dyDescent="0.35">
      <c r="A19" s="153" t="s">
        <v>171</v>
      </c>
      <c r="B19" s="179">
        <f t="shared" ref="B19:H19" si="1">-(B18/B11)</f>
        <v>0.56322394705918744</v>
      </c>
      <c r="C19" s="179">
        <f t="shared" si="1"/>
        <v>0.55714765352587114</v>
      </c>
      <c r="D19" s="179">
        <f t="shared" si="1"/>
        <v>0.62886409120148667</v>
      </c>
      <c r="E19" s="179">
        <f t="shared" si="1"/>
        <v>0.61343476204739023</v>
      </c>
      <c r="F19" s="179">
        <f t="shared" si="1"/>
        <v>0.56600543235573286</v>
      </c>
      <c r="G19" s="179">
        <f t="shared" si="1"/>
        <v>0.57559130315269258</v>
      </c>
      <c r="H19" s="179">
        <f t="shared" si="1"/>
        <v>0.56210764864878537</v>
      </c>
      <c r="I19" s="42"/>
      <c r="J19" s="179">
        <f>CHOOSE($B$4,J21,J22,J23)</f>
        <v>0.58091069114159233</v>
      </c>
      <c r="K19" s="179">
        <f>CHOOSE($B$4,K21,K22,K23)</f>
        <v>0.58091069114159233</v>
      </c>
      <c r="L19" s="179">
        <f>CHOOSE($B$4,L21,L22,L23)</f>
        <v>0.58091069114159233</v>
      </c>
      <c r="M19" s="179">
        <f>CHOOSE($B$4,M21,M22,M23)</f>
        <v>0.58091069114159233</v>
      </c>
      <c r="N19" s="179">
        <f>CHOOSE($B$4,N21,N22,N23)</f>
        <v>0.58091069114159233</v>
      </c>
      <c r="O19" s="58"/>
    </row>
    <row r="20" spans="1:15" x14ac:dyDescent="0.35">
      <c r="A20" s="153"/>
      <c r="B20" s="42"/>
      <c r="C20" s="42"/>
      <c r="D20" s="42"/>
      <c r="E20" s="42"/>
      <c r="F20" s="42"/>
      <c r="G20" s="42"/>
      <c r="H20" s="42"/>
      <c r="I20" s="42"/>
      <c r="J20" s="42"/>
      <c r="K20" s="42"/>
      <c r="L20" s="42"/>
      <c r="M20" s="42"/>
      <c r="N20" s="42"/>
      <c r="O20" s="58"/>
    </row>
    <row r="21" spans="1:15" x14ac:dyDescent="0.35">
      <c r="A21" s="153"/>
      <c r="B21" s="67"/>
      <c r="C21" s="67"/>
      <c r="D21" s="67"/>
      <c r="E21" s="67"/>
      <c r="F21" s="67"/>
      <c r="G21" s="67"/>
      <c r="H21" s="67"/>
      <c r="I21" s="42"/>
      <c r="J21" s="181">
        <v>0.55000000000000004</v>
      </c>
      <c r="K21" s="181">
        <v>0.55000000000000004</v>
      </c>
      <c r="L21" s="181">
        <v>0.55000000000000004</v>
      </c>
      <c r="M21" s="181">
        <v>0.55000000000000004</v>
      </c>
      <c r="N21" s="181">
        <v>0.55000000000000004</v>
      </c>
      <c r="O21" s="58"/>
    </row>
    <row r="22" spans="1:15" x14ac:dyDescent="0.35">
      <c r="A22" s="153"/>
      <c r="B22" s="67"/>
      <c r="C22" s="67"/>
      <c r="D22" s="67"/>
      <c r="E22" s="67"/>
      <c r="F22" s="67"/>
      <c r="G22" s="67"/>
      <c r="H22" s="67"/>
      <c r="I22" s="42"/>
      <c r="J22" s="181">
        <f>AVERAGE($B$19:$H$19)</f>
        <v>0.58091069114159233</v>
      </c>
      <c r="K22" s="181">
        <f>AVERAGE($B$19:$H$19)</f>
        <v>0.58091069114159233</v>
      </c>
      <c r="L22" s="181">
        <f>AVERAGE($B$19:$H$19)</f>
        <v>0.58091069114159233</v>
      </c>
      <c r="M22" s="181">
        <f>AVERAGE($B$19:$H$19)</f>
        <v>0.58091069114159233</v>
      </c>
      <c r="N22" s="181">
        <f>AVERAGE($B$19:$H$19)</f>
        <v>0.58091069114159233</v>
      </c>
      <c r="O22" s="58"/>
    </row>
    <row r="23" spans="1:15" x14ac:dyDescent="0.35">
      <c r="A23" s="153"/>
      <c r="B23" s="67"/>
      <c r="C23" s="67"/>
      <c r="D23" s="67"/>
      <c r="E23" s="67"/>
      <c r="F23" s="67"/>
      <c r="G23" s="67"/>
      <c r="H23" s="67"/>
      <c r="I23" s="42"/>
      <c r="J23" s="181">
        <v>0.63</v>
      </c>
      <c r="K23" s="181">
        <v>0.63</v>
      </c>
      <c r="L23" s="181">
        <v>0.63</v>
      </c>
      <c r="M23" s="181">
        <v>0.63</v>
      </c>
      <c r="N23" s="181">
        <v>0.63</v>
      </c>
      <c r="O23" s="58"/>
    </row>
    <row r="24" spans="1:15" x14ac:dyDescent="0.35">
      <c r="A24" s="153"/>
      <c r="B24" s="42"/>
      <c r="C24" s="42"/>
      <c r="D24" s="42"/>
      <c r="E24" s="42"/>
      <c r="F24" s="42"/>
      <c r="G24" s="42"/>
      <c r="H24" s="42"/>
      <c r="I24" s="42"/>
      <c r="J24" s="42"/>
      <c r="K24" s="42"/>
      <c r="L24" s="42"/>
      <c r="M24" s="42"/>
      <c r="N24" s="42"/>
      <c r="O24" s="58"/>
    </row>
    <row r="25" spans="1:15" x14ac:dyDescent="0.35">
      <c r="A25" s="153" t="s">
        <v>172</v>
      </c>
      <c r="B25" s="178">
        <f>'Historical P&amp;L'!B12</f>
        <v>-1366.09</v>
      </c>
      <c r="C25" s="178">
        <f>'Historical P&amp;L'!C12</f>
        <v>-1540.75</v>
      </c>
      <c r="D25" s="178">
        <f>'Historical P&amp;L'!D12</f>
        <v>-1786.67</v>
      </c>
      <c r="E25" s="178">
        <f>'Historical P&amp;L'!E12</f>
        <v>-2028.07</v>
      </c>
      <c r="F25" s="178">
        <f>'Historical P&amp;L'!F12</f>
        <v>-2326.1799999999998</v>
      </c>
      <c r="G25" s="178">
        <f>'Historical P&amp;L'!G12</f>
        <v>-2597.23</v>
      </c>
      <c r="H25" s="178">
        <f>'Historical P&amp;L'!H12</f>
        <v>-2799.59</v>
      </c>
      <c r="I25" s="74"/>
      <c r="J25" s="178">
        <f>-J26*J11</f>
        <v>-2608.4450908733411</v>
      </c>
      <c r="K25" s="178">
        <f>-K26*K11</f>
        <v>-2784.5151345072918</v>
      </c>
      <c r="L25" s="178">
        <f>-L26*L11</f>
        <v>-2965.5086182502655</v>
      </c>
      <c r="M25" s="178">
        <f>-M26*M11</f>
        <v>-3150.8529068909074</v>
      </c>
      <c r="N25" s="178">
        <f>-N26*N11</f>
        <v>-3339.9040813043616</v>
      </c>
      <c r="O25" s="58"/>
    </row>
    <row r="26" spans="1:15" x14ac:dyDescent="0.35">
      <c r="A26" s="153" t="s">
        <v>171</v>
      </c>
      <c r="B26" s="179">
        <f t="shared" ref="B26:H26" si="2">-B25/B11</f>
        <v>6.7590574556249616E-2</v>
      </c>
      <c r="C26" s="179">
        <f t="shared" si="2"/>
        <v>7.0960479975166704E-2</v>
      </c>
      <c r="D26" s="179">
        <f t="shared" si="2"/>
        <v>6.1394893970299597E-2</v>
      </c>
      <c r="E26" s="179">
        <f t="shared" si="2"/>
        <v>5.8804085641077232E-2</v>
      </c>
      <c r="F26" s="179">
        <f t="shared" si="2"/>
        <v>6.5535926037470923E-2</v>
      </c>
      <c r="G26" s="179">
        <f t="shared" si="2"/>
        <v>7.6601755107265398E-2</v>
      </c>
      <c r="H26" s="179">
        <f t="shared" si="2"/>
        <v>7.8676545391492811E-2</v>
      </c>
      <c r="I26" s="42"/>
      <c r="J26" s="179">
        <f>CHOOSE($B$4,J28,J29,J30)</f>
        <v>6.8509180097003186E-2</v>
      </c>
      <c r="K26" s="179">
        <f>CHOOSE($B$4,K28,K29,K30)</f>
        <v>6.8509180097003186E-2</v>
      </c>
      <c r="L26" s="179">
        <f>CHOOSE($B$4,L28,L29,L30)</f>
        <v>6.8509180097003186E-2</v>
      </c>
      <c r="M26" s="179">
        <f>CHOOSE($B$4,M28,M29,M30)</f>
        <v>6.8509180097003186E-2</v>
      </c>
      <c r="N26" s="179">
        <f>CHOOSE($B$4,N28,N29,N30)</f>
        <v>6.8509180097003186E-2</v>
      </c>
      <c r="O26" s="58"/>
    </row>
    <row r="27" spans="1:15" x14ac:dyDescent="0.35">
      <c r="A27" s="153"/>
      <c r="B27" s="42"/>
      <c r="C27" s="42"/>
      <c r="D27" s="42"/>
      <c r="E27" s="42"/>
      <c r="F27" s="42"/>
      <c r="G27" s="42"/>
      <c r="H27" s="42"/>
      <c r="I27" s="42"/>
      <c r="J27" s="42"/>
      <c r="K27" s="42"/>
      <c r="L27" s="42"/>
      <c r="M27" s="42"/>
      <c r="N27" s="42"/>
      <c r="O27" s="58"/>
    </row>
    <row r="28" spans="1:15" x14ac:dyDescent="0.35">
      <c r="A28" s="153"/>
      <c r="B28" s="67"/>
      <c r="C28" s="67"/>
      <c r="D28" s="67"/>
      <c r="E28" s="67"/>
      <c r="F28" s="67"/>
      <c r="G28" s="67"/>
      <c r="H28" s="67"/>
      <c r="I28" s="42"/>
      <c r="J28" s="181">
        <v>5.5E-2</v>
      </c>
      <c r="K28" s="181">
        <v>5.5E-2</v>
      </c>
      <c r="L28" s="181">
        <v>5.5E-2</v>
      </c>
      <c r="M28" s="181">
        <v>5.5E-2</v>
      </c>
      <c r="N28" s="181">
        <v>5.5E-2</v>
      </c>
      <c r="O28" s="58"/>
    </row>
    <row r="29" spans="1:15" x14ac:dyDescent="0.35">
      <c r="A29" s="153"/>
      <c r="B29" s="67"/>
      <c r="C29" s="67"/>
      <c r="D29" s="67"/>
      <c r="E29" s="67"/>
      <c r="F29" s="67"/>
      <c r="G29" s="67"/>
      <c r="H29" s="67"/>
      <c r="I29" s="42"/>
      <c r="J29" s="181">
        <f>AVERAGE($B$26:$H$26)</f>
        <v>6.8509180097003186E-2</v>
      </c>
      <c r="K29" s="181">
        <f>AVERAGE($B$26:$H$26)</f>
        <v>6.8509180097003186E-2</v>
      </c>
      <c r="L29" s="181">
        <f>AVERAGE($B$26:$H$26)</f>
        <v>6.8509180097003186E-2</v>
      </c>
      <c r="M29" s="181">
        <f>AVERAGE($B$26:$H$26)</f>
        <v>6.8509180097003186E-2</v>
      </c>
      <c r="N29" s="181">
        <f>AVERAGE($B$26:$H$26)</f>
        <v>6.8509180097003186E-2</v>
      </c>
      <c r="O29" s="58"/>
    </row>
    <row r="30" spans="1:15" x14ac:dyDescent="0.35">
      <c r="A30" s="153"/>
      <c r="B30" s="67"/>
      <c r="C30" s="67"/>
      <c r="D30" s="67"/>
      <c r="E30" s="67"/>
      <c r="F30" s="67"/>
      <c r="G30" s="67"/>
      <c r="H30" s="67"/>
      <c r="I30" s="42"/>
      <c r="J30" s="181">
        <v>0.08</v>
      </c>
      <c r="K30" s="181">
        <v>0.08</v>
      </c>
      <c r="L30" s="181">
        <v>0.08</v>
      </c>
      <c r="M30" s="181">
        <v>0.08</v>
      </c>
      <c r="N30" s="181">
        <v>0.08</v>
      </c>
      <c r="O30" s="58"/>
    </row>
    <row r="31" spans="1:15" x14ac:dyDescent="0.35">
      <c r="A31" s="153"/>
      <c r="B31" s="42"/>
      <c r="C31" s="42"/>
      <c r="D31" s="42"/>
      <c r="E31" s="42"/>
      <c r="F31" s="42"/>
      <c r="G31" s="42"/>
      <c r="H31" s="42"/>
      <c r="I31" s="42"/>
      <c r="J31" s="42"/>
      <c r="K31" s="42"/>
      <c r="L31" s="42"/>
      <c r="M31" s="42"/>
      <c r="N31" s="42"/>
      <c r="O31" s="58"/>
    </row>
    <row r="32" spans="1:15" x14ac:dyDescent="0.35">
      <c r="A32" s="153" t="s">
        <v>173</v>
      </c>
      <c r="B32" s="178">
        <f>'Historical P&amp;L'!B13</f>
        <v>-3299.93</v>
      </c>
      <c r="C32" s="178">
        <f>'Historical P&amp;L'!C13</f>
        <v>-3219.21</v>
      </c>
      <c r="D32" s="178">
        <f>'Historical P&amp;L'!D13</f>
        <v>-4210.25</v>
      </c>
      <c r="E32" s="178">
        <f>'Historical P&amp;L'!E13</f>
        <v>-5044.18</v>
      </c>
      <c r="F32" s="178">
        <f>'Historical P&amp;L'!F13</f>
        <v>-5493.36</v>
      </c>
      <c r="G32" s="178">
        <f>'Historical P&amp;L'!G13</f>
        <v>-5786.4</v>
      </c>
      <c r="H32" s="178">
        <f>'Historical P&amp;L'!H13</f>
        <v>-6086.25</v>
      </c>
      <c r="I32" s="74"/>
      <c r="J32" s="178">
        <f>-J33*J11</f>
        <v>-5977.3315511716</v>
      </c>
      <c r="K32" s="178">
        <f>-K33*K11</f>
        <v>-6380.8014308756829</v>
      </c>
      <c r="L32" s="178">
        <f>-L33*L11</f>
        <v>-6795.5535238826023</v>
      </c>
      <c r="M32" s="178">
        <f>-M33*M11</f>
        <v>-7220.2756191252656</v>
      </c>
      <c r="N32" s="178">
        <f>-N33*N11</f>
        <v>-7653.4921562727814</v>
      </c>
      <c r="O32" s="58"/>
    </row>
    <row r="33" spans="1:22" x14ac:dyDescent="0.35">
      <c r="A33" s="153" t="s">
        <v>171</v>
      </c>
      <c r="B33" s="179">
        <f t="shared" ref="B33:H33" si="3">-B32/B11</f>
        <v>0.16327194013235202</v>
      </c>
      <c r="C33" s="179">
        <f t="shared" si="3"/>
        <v>0.14826330471579194</v>
      </c>
      <c r="D33" s="179">
        <f t="shared" si="3"/>
        <v>0.14467576683912187</v>
      </c>
      <c r="E33" s="179">
        <f t="shared" si="3"/>
        <v>0.1462564865655569</v>
      </c>
      <c r="F33" s="179">
        <f t="shared" si="3"/>
        <v>0.15476551026025553</v>
      </c>
      <c r="G33" s="179">
        <f t="shared" si="3"/>
        <v>0.17066197285287804</v>
      </c>
      <c r="H33" s="179">
        <f t="shared" si="3"/>
        <v>0.17104116116608972</v>
      </c>
      <c r="I33" s="42"/>
      <c r="J33" s="179">
        <f>CHOOSE($B$4,J35,J36,J37)</f>
        <v>0.15699087750457802</v>
      </c>
      <c r="K33" s="179">
        <f>CHOOSE($B$4,K35,K36,K37)</f>
        <v>0.15699087750457802</v>
      </c>
      <c r="L33" s="179">
        <f>CHOOSE($B$4,L35,L36,L37)</f>
        <v>0.15699087750457802</v>
      </c>
      <c r="M33" s="179">
        <f>CHOOSE($B$4,M35,M36,M37)</f>
        <v>0.15699087750457802</v>
      </c>
      <c r="N33" s="179">
        <f>CHOOSE($B$4,N35,N36,N37)</f>
        <v>0.15699087750457802</v>
      </c>
      <c r="O33" s="58"/>
    </row>
    <row r="34" spans="1:22" x14ac:dyDescent="0.35">
      <c r="A34" s="153"/>
      <c r="B34" s="42"/>
      <c r="C34" s="42"/>
      <c r="D34" s="42"/>
      <c r="E34" s="42"/>
      <c r="F34" s="42"/>
      <c r="G34" s="42"/>
      <c r="H34" s="42"/>
      <c r="I34" s="42"/>
      <c r="J34" s="42"/>
      <c r="K34" s="42"/>
      <c r="L34" s="42"/>
      <c r="M34" s="42"/>
      <c r="N34" s="42"/>
      <c r="O34" s="58"/>
    </row>
    <row r="35" spans="1:22" x14ac:dyDescent="0.35">
      <c r="A35" s="153"/>
      <c r="B35" s="67"/>
      <c r="C35" s="67"/>
      <c r="D35" s="67"/>
      <c r="E35" s="67"/>
      <c r="F35" s="67"/>
      <c r="G35" s="67"/>
      <c r="H35" s="67"/>
      <c r="I35" s="42"/>
      <c r="J35" s="181">
        <v>0.14000000000000001</v>
      </c>
      <c r="K35" s="181">
        <v>0.14000000000000001</v>
      </c>
      <c r="L35" s="181">
        <v>0.14000000000000001</v>
      </c>
      <c r="M35" s="181">
        <v>0.14000000000000001</v>
      </c>
      <c r="N35" s="181">
        <v>0.14000000000000001</v>
      </c>
      <c r="O35" s="58"/>
    </row>
    <row r="36" spans="1:22" x14ac:dyDescent="0.35">
      <c r="A36" s="153"/>
      <c r="B36" s="67"/>
      <c r="C36" s="67"/>
      <c r="D36" s="67"/>
      <c r="E36" s="67"/>
      <c r="F36" s="67"/>
      <c r="G36" s="67"/>
      <c r="H36" s="67"/>
      <c r="I36" s="42"/>
      <c r="J36" s="181">
        <f>AVERAGE($B$33:$H$33)</f>
        <v>0.15699087750457802</v>
      </c>
      <c r="K36" s="181">
        <f>AVERAGE($B$33:$H$33)</f>
        <v>0.15699087750457802</v>
      </c>
      <c r="L36" s="181">
        <f>AVERAGE($B$33:$H$33)</f>
        <v>0.15699087750457802</v>
      </c>
      <c r="M36" s="181">
        <f>AVERAGE($B$33:$H$33)</f>
        <v>0.15699087750457802</v>
      </c>
      <c r="N36" s="181">
        <f>AVERAGE($B$33:$H$33)</f>
        <v>0.15699087750457802</v>
      </c>
      <c r="O36" s="58"/>
    </row>
    <row r="37" spans="1:22" x14ac:dyDescent="0.35">
      <c r="A37" s="153"/>
      <c r="B37" s="67"/>
      <c r="C37" s="67"/>
      <c r="D37" s="67"/>
      <c r="E37" s="67"/>
      <c r="F37" s="67"/>
      <c r="G37" s="67"/>
      <c r="H37" s="67"/>
      <c r="I37" s="42"/>
      <c r="J37" s="181">
        <v>0.17499999999999999</v>
      </c>
      <c r="K37" s="181">
        <v>0.17499999999999999</v>
      </c>
      <c r="L37" s="181">
        <v>0.17499999999999999</v>
      </c>
      <c r="M37" s="181">
        <v>0.17499999999999999</v>
      </c>
      <c r="N37" s="181">
        <v>0.17499999999999999</v>
      </c>
      <c r="O37" s="58"/>
    </row>
    <row r="38" spans="1:22" x14ac:dyDescent="0.35">
      <c r="A38" s="153"/>
      <c r="B38" s="42"/>
      <c r="C38" s="42"/>
      <c r="D38" s="42"/>
      <c r="E38" s="42"/>
      <c r="F38" s="42"/>
      <c r="G38" s="42"/>
      <c r="H38" s="42"/>
      <c r="I38" s="42"/>
      <c r="J38" s="42"/>
      <c r="K38" s="42"/>
      <c r="L38" s="42"/>
      <c r="M38" s="42"/>
      <c r="N38" s="42"/>
      <c r="O38" s="58"/>
    </row>
    <row r="39" spans="1:22" x14ac:dyDescent="0.35">
      <c r="A39" s="153" t="s">
        <v>174</v>
      </c>
      <c r="B39" s="182">
        <f>'Historical Cash Flow'!C6</f>
        <v>-403.54</v>
      </c>
      <c r="C39" s="182">
        <f>'Historical Cash Flow'!D6</f>
        <v>-281.87</v>
      </c>
      <c r="D39" s="182">
        <f>'Historical Cash Flow'!E6</f>
        <v>-538.24</v>
      </c>
      <c r="E39" s="182">
        <f>'Historical Cash Flow'!F6</f>
        <v>-1273.3699999999999</v>
      </c>
      <c r="F39" s="182">
        <f>'Historical Cash Flow'!G6</f>
        <v>-2199.0100000000002</v>
      </c>
      <c r="G39" s="182">
        <f>'Historical Cash Flow'!H6</f>
        <v>-1805.32</v>
      </c>
      <c r="H39" s="182">
        <f>'Historical Cash Flow'!I6</f>
        <v>-1467.02</v>
      </c>
      <c r="I39" s="61"/>
      <c r="J39" s="182">
        <f>-J40*J11</f>
        <v>-1985.2757402173395</v>
      </c>
      <c r="K39" s="182">
        <f>-K40*K11</f>
        <v>-2119.2818526820101</v>
      </c>
      <c r="L39" s="182">
        <f>-L40*L11</f>
        <v>-2257.0351731063406</v>
      </c>
      <c r="M39" s="182">
        <f>-M40*M11</f>
        <v>-2398.099871425487</v>
      </c>
      <c r="N39" s="182">
        <f>-N40*N11</f>
        <v>-2541.9858637110165</v>
      </c>
      <c r="O39" s="58"/>
    </row>
    <row r="40" spans="1:22" x14ac:dyDescent="0.35">
      <c r="A40" s="153" t="s">
        <v>171</v>
      </c>
      <c r="B40" s="179">
        <f t="shared" ref="B40:H40" si="4">-B39/B11</f>
        <v>1.9966107984414623E-2</v>
      </c>
      <c r="C40" s="179">
        <f t="shared" si="4"/>
        <v>1.298174946655865E-2</v>
      </c>
      <c r="D40" s="179">
        <f t="shared" si="4"/>
        <v>1.8495406387622815E-2</v>
      </c>
      <c r="E40" s="179">
        <f t="shared" si="4"/>
        <v>3.6921486207467449E-2</v>
      </c>
      <c r="F40" s="179">
        <f t="shared" si="4"/>
        <v>6.1953140649330211E-2</v>
      </c>
      <c r="G40" s="179">
        <f t="shared" si="4"/>
        <v>5.3245450164309038E-2</v>
      </c>
      <c r="H40" s="179">
        <f t="shared" si="4"/>
        <v>4.1227488889525883E-2</v>
      </c>
      <c r="I40" s="42"/>
      <c r="J40" s="179">
        <f>CHOOSE($B$4,J42,J43,J44)</f>
        <v>5.2142026567721711E-2</v>
      </c>
      <c r="K40" s="179">
        <f>CHOOSE($B$4,K42,K43,K44)</f>
        <v>5.2142026567721711E-2</v>
      </c>
      <c r="L40" s="179">
        <f>CHOOSE($B$4,L42,L43,L44)</f>
        <v>5.2142026567721711E-2</v>
      </c>
      <c r="M40" s="179">
        <f>CHOOSE($B$4,M42,M43,M44)</f>
        <v>5.2142026567721711E-2</v>
      </c>
      <c r="N40" s="179">
        <f>CHOOSE($B$4,N42,N43,N44)</f>
        <v>5.2142026567721711E-2</v>
      </c>
      <c r="O40" s="58"/>
    </row>
    <row r="41" spans="1:22" x14ac:dyDescent="0.35">
      <c r="A41" s="153"/>
      <c r="B41" s="42"/>
      <c r="C41" s="42"/>
      <c r="D41" s="42"/>
      <c r="E41" s="42"/>
      <c r="F41" s="42"/>
      <c r="G41" s="42"/>
      <c r="H41" s="42"/>
      <c r="I41" s="42"/>
      <c r="J41" s="42"/>
      <c r="K41" s="42"/>
      <c r="L41" s="42"/>
      <c r="M41" s="42"/>
      <c r="N41" s="42"/>
      <c r="O41" s="58"/>
    </row>
    <row r="42" spans="1:22" ht="18" customHeight="1" x14ac:dyDescent="0.35">
      <c r="A42" s="153"/>
      <c r="B42" s="258" t="s">
        <v>175</v>
      </c>
      <c r="C42" s="259"/>
      <c r="D42" s="183">
        <f>H40</f>
        <v>4.1227488889525883E-2</v>
      </c>
      <c r="E42" s="42"/>
      <c r="F42" s="42"/>
      <c r="G42" s="42"/>
      <c r="H42" s="42"/>
      <c r="I42" s="42"/>
      <c r="J42" s="181">
        <f>$D$42</f>
        <v>4.1227488889525883E-2</v>
      </c>
      <c r="K42" s="181">
        <f>$D$42</f>
        <v>4.1227488889525883E-2</v>
      </c>
      <c r="L42" s="181">
        <f>$D$42</f>
        <v>4.1227488889525883E-2</v>
      </c>
      <c r="M42" s="181">
        <f>$D$42</f>
        <v>4.1227488889525883E-2</v>
      </c>
      <c r="N42" s="181">
        <f>$D$42</f>
        <v>4.1227488889525883E-2</v>
      </c>
      <c r="O42" s="58"/>
    </row>
    <row r="43" spans="1:22" ht="18" customHeight="1" x14ac:dyDescent="0.35">
      <c r="A43" s="153"/>
      <c r="B43" s="258" t="s">
        <v>176</v>
      </c>
      <c r="C43" s="259"/>
      <c r="D43" s="183">
        <f>AVERAGE(F40:H40)</f>
        <v>5.2142026567721711E-2</v>
      </c>
      <c r="E43" s="42"/>
      <c r="F43" s="42"/>
      <c r="G43" s="42"/>
      <c r="H43" s="42"/>
      <c r="I43" s="42"/>
      <c r="J43" s="181">
        <f>$D$43</f>
        <v>5.2142026567721711E-2</v>
      </c>
      <c r="K43" s="181">
        <f>$D$43</f>
        <v>5.2142026567721711E-2</v>
      </c>
      <c r="L43" s="181">
        <f>$D$43</f>
        <v>5.2142026567721711E-2</v>
      </c>
      <c r="M43" s="181">
        <f>$D$43</f>
        <v>5.2142026567721711E-2</v>
      </c>
      <c r="N43" s="181">
        <f>$D$43</f>
        <v>5.2142026567721711E-2</v>
      </c>
      <c r="O43" s="58"/>
    </row>
    <row r="44" spans="1:22" ht="18" customHeight="1" x14ac:dyDescent="0.35">
      <c r="A44" s="153"/>
      <c r="B44" s="258" t="s">
        <v>177</v>
      </c>
      <c r="C44" s="259"/>
      <c r="D44" s="183">
        <f>AVERAGE(B40:H40)</f>
        <v>3.4970118535604097E-2</v>
      </c>
      <c r="E44" s="42"/>
      <c r="F44" s="42"/>
      <c r="G44" s="42"/>
      <c r="H44" s="42"/>
      <c r="I44" s="42"/>
      <c r="J44" s="181">
        <f>$D$44</f>
        <v>3.4970118535604097E-2</v>
      </c>
      <c r="K44" s="181">
        <f>$D$44</f>
        <v>3.4970118535604097E-2</v>
      </c>
      <c r="L44" s="181">
        <f>$D$44</f>
        <v>3.4970118535604097E-2</v>
      </c>
      <c r="M44" s="181">
        <f>$D$44</f>
        <v>3.4970118535604097E-2</v>
      </c>
      <c r="N44" s="181">
        <f>$D$44</f>
        <v>3.4970118535604097E-2</v>
      </c>
      <c r="O44" s="58"/>
      <c r="R44" s="10"/>
      <c r="S44" s="10"/>
      <c r="T44" s="10"/>
      <c r="U44" s="10"/>
      <c r="V44" s="10"/>
    </row>
    <row r="45" spans="1:22" x14ac:dyDescent="0.35">
      <c r="A45" s="153"/>
      <c r="B45" s="42"/>
      <c r="C45" s="42"/>
      <c r="D45" s="42"/>
      <c r="E45" s="42"/>
      <c r="F45" s="42"/>
      <c r="G45" s="42"/>
      <c r="H45" s="42"/>
      <c r="I45" s="42"/>
      <c r="J45" s="42"/>
      <c r="K45" s="42"/>
      <c r="L45" s="42"/>
      <c r="M45" s="42"/>
      <c r="N45" s="42"/>
      <c r="O45" s="58"/>
      <c r="R45" s="4"/>
      <c r="S45" s="4"/>
      <c r="T45" s="4"/>
      <c r="U45" s="4"/>
      <c r="V45" s="4"/>
    </row>
    <row r="46" spans="1:22" x14ac:dyDescent="0.35">
      <c r="A46" s="153" t="s">
        <v>178</v>
      </c>
      <c r="B46" s="184">
        <f>'Historical P&amp;L'!B16</f>
        <v>-780.5</v>
      </c>
      <c r="C46" s="184">
        <f>'Historical P&amp;L'!C16</f>
        <v>-791.27</v>
      </c>
      <c r="D46" s="184">
        <f>'Historical P&amp;L'!D16</f>
        <v>-816.36</v>
      </c>
      <c r="E46" s="184">
        <f>'Historical P&amp;L'!E16</f>
        <v>-858.02</v>
      </c>
      <c r="F46" s="184">
        <f>'Historical P&amp;L'!F16</f>
        <v>-853</v>
      </c>
      <c r="G46" s="184">
        <f>'Historical P&amp;L'!G16</f>
        <v>-1026.3399999999999</v>
      </c>
      <c r="H46" s="184">
        <f>'Historical P&amp;L'!H16</f>
        <v>-1228.8499999999999</v>
      </c>
      <c r="I46" s="42"/>
      <c r="J46" s="67"/>
      <c r="K46" s="67"/>
      <c r="L46" s="67"/>
      <c r="M46" s="67"/>
      <c r="N46" s="67"/>
      <c r="O46" s="58"/>
    </row>
    <row r="47" spans="1:22" x14ac:dyDescent="0.35">
      <c r="A47" s="153" t="s">
        <v>171</v>
      </c>
      <c r="B47" s="185">
        <f t="shared" ref="B47:H47" si="5">-B46/B11</f>
        <v>3.8617106809326486E-2</v>
      </c>
      <c r="C47" s="185">
        <f t="shared" si="5"/>
        <v>3.6442576011650275E-2</v>
      </c>
      <c r="D47" s="185">
        <f t="shared" si="5"/>
        <v>2.8052374328551871E-2</v>
      </c>
      <c r="E47" s="185">
        <f t="shared" si="5"/>
        <v>2.4878372818372681E-2</v>
      </c>
      <c r="F47" s="185">
        <f t="shared" si="5"/>
        <v>2.4031736542297972E-2</v>
      </c>
      <c r="G47" s="185">
        <f t="shared" si="5"/>
        <v>3.0270497929251843E-2</v>
      </c>
      <c r="H47" s="185">
        <f t="shared" si="5"/>
        <v>3.4534225656019608E-2</v>
      </c>
      <c r="I47" s="42"/>
      <c r="J47" s="67"/>
      <c r="K47" s="67"/>
      <c r="L47" s="67"/>
      <c r="M47" s="67"/>
      <c r="N47" s="67"/>
      <c r="O47" s="58"/>
      <c r="R47" s="15"/>
      <c r="S47" s="15"/>
      <c r="T47" s="15"/>
      <c r="U47" s="15"/>
      <c r="V47" s="15"/>
    </row>
    <row r="48" spans="1:22" x14ac:dyDescent="0.35">
      <c r="A48" s="153"/>
      <c r="B48" s="42"/>
      <c r="C48" s="42"/>
      <c r="D48" s="42"/>
      <c r="E48" s="42"/>
      <c r="F48" s="42"/>
      <c r="G48" s="42"/>
      <c r="H48" s="42"/>
      <c r="I48" s="42"/>
      <c r="J48" s="67"/>
      <c r="K48" s="67"/>
      <c r="L48" s="67"/>
      <c r="M48" s="67"/>
      <c r="N48" s="67"/>
      <c r="O48" s="58"/>
      <c r="R48" s="15"/>
      <c r="S48" s="15"/>
      <c r="T48" s="15"/>
      <c r="U48" s="15"/>
      <c r="V48" s="15"/>
    </row>
    <row r="49" spans="1:22" ht="18" customHeight="1" x14ac:dyDescent="0.35">
      <c r="A49" s="153"/>
      <c r="B49" s="258" t="s">
        <v>175</v>
      </c>
      <c r="C49" s="259"/>
      <c r="D49" s="183">
        <f>H47</f>
        <v>3.4534225656019608E-2</v>
      </c>
      <c r="E49" s="42"/>
      <c r="F49" s="42"/>
      <c r="G49" s="42"/>
      <c r="H49" s="42"/>
      <c r="I49" s="42"/>
      <c r="J49" s="67"/>
      <c r="K49" s="67"/>
      <c r="L49" s="67"/>
      <c r="M49" s="67"/>
      <c r="N49" s="67"/>
      <c r="O49" s="58"/>
      <c r="R49" s="15"/>
      <c r="S49" s="15"/>
      <c r="T49" s="15"/>
      <c r="U49" s="15"/>
      <c r="V49" s="15"/>
    </row>
    <row r="50" spans="1:22" ht="18" customHeight="1" x14ac:dyDescent="0.35">
      <c r="A50" s="153"/>
      <c r="B50" s="258" t="s">
        <v>176</v>
      </c>
      <c r="C50" s="259"/>
      <c r="D50" s="183">
        <f>AVERAGE(F47:H47)</f>
        <v>2.9612153375856477E-2</v>
      </c>
      <c r="E50" s="42"/>
      <c r="F50" s="42"/>
      <c r="G50" s="42"/>
      <c r="H50" s="42"/>
      <c r="I50" s="42"/>
      <c r="J50" s="67"/>
      <c r="K50" s="67"/>
      <c r="L50" s="67"/>
      <c r="M50" s="67"/>
      <c r="N50" s="67"/>
      <c r="O50" s="58"/>
    </row>
    <row r="51" spans="1:22" ht="18" customHeight="1" x14ac:dyDescent="0.35">
      <c r="A51" s="153"/>
      <c r="B51" s="258" t="s">
        <v>179</v>
      </c>
      <c r="C51" s="259"/>
      <c r="D51" s="183">
        <f>AVERAGE(B47:H47)</f>
        <v>3.0975270013638676E-2</v>
      </c>
      <c r="E51" s="42"/>
      <c r="F51" s="42"/>
      <c r="G51" s="42"/>
      <c r="H51" s="42"/>
      <c r="I51" s="42"/>
      <c r="J51" s="67"/>
      <c r="K51" s="67"/>
      <c r="L51" s="67"/>
      <c r="M51" s="67"/>
      <c r="N51" s="67"/>
      <c r="O51" s="58" t="s">
        <v>180</v>
      </c>
    </row>
    <row r="52" spans="1:22" x14ac:dyDescent="0.35">
      <c r="A52" s="153"/>
      <c r="B52" s="42"/>
      <c r="C52" s="42"/>
      <c r="D52" s="42"/>
      <c r="E52" s="42"/>
      <c r="F52" s="42"/>
      <c r="G52" s="42"/>
      <c r="H52" s="42"/>
      <c r="I52" s="42"/>
      <c r="J52" s="42"/>
      <c r="K52" s="42"/>
      <c r="L52" s="42"/>
      <c r="M52" s="42"/>
      <c r="N52" s="42"/>
      <c r="O52" s="58"/>
    </row>
    <row r="53" spans="1:22" x14ac:dyDescent="0.35">
      <c r="A53" s="153" t="s">
        <v>181</v>
      </c>
      <c r="B53" s="184">
        <v>5256.18</v>
      </c>
      <c r="C53" s="184">
        <f>'Historical BS'!C10</f>
        <v>4764.76</v>
      </c>
      <c r="D53" s="184">
        <f>'Historical BS'!D10</f>
        <v>4476.3500000000004</v>
      </c>
      <c r="E53" s="184">
        <f>'Historical BS'!E10</f>
        <v>4184.46</v>
      </c>
      <c r="F53" s="184">
        <f>'Historical BS'!F10</f>
        <v>4145.6499999999996</v>
      </c>
      <c r="G53" s="184">
        <f>'Historical BS'!G10</f>
        <v>4446.2</v>
      </c>
      <c r="H53" s="184">
        <f>'Historical BS'!H10</f>
        <v>6787.62</v>
      </c>
      <c r="I53" s="74"/>
      <c r="J53" s="184">
        <f>'Historical BS'!I10</f>
        <v>7146.23</v>
      </c>
      <c r="K53" s="74"/>
      <c r="L53" s="74"/>
      <c r="M53" s="74"/>
      <c r="N53" s="74"/>
      <c r="O53" s="58" t="s">
        <v>182</v>
      </c>
    </row>
    <row r="54" spans="1:22" x14ac:dyDescent="0.35">
      <c r="A54" s="153" t="s">
        <v>183</v>
      </c>
      <c r="B54" s="184">
        <v>0</v>
      </c>
      <c r="C54" s="184">
        <f>'Historical BS'!C12</f>
        <v>920.09</v>
      </c>
      <c r="D54" s="184">
        <f>'Historical BS'!D12</f>
        <v>845.55</v>
      </c>
      <c r="E54" s="184">
        <f>'Historical BS'!E12</f>
        <v>905.75</v>
      </c>
      <c r="F54" s="184">
        <f>'Historical BS'!F12</f>
        <v>1208.92</v>
      </c>
      <c r="G54" s="184">
        <f>'Historical BS'!G12</f>
        <v>1856.27</v>
      </c>
      <c r="H54" s="184">
        <f>'Historical BS'!H12</f>
        <v>1843.72</v>
      </c>
      <c r="I54" s="74"/>
      <c r="J54" s="184">
        <f>'Historical BS'!I12</f>
        <v>2018.77</v>
      </c>
      <c r="K54" s="74"/>
      <c r="L54" s="74"/>
      <c r="M54" s="74"/>
      <c r="N54" s="74"/>
      <c r="O54" s="58"/>
    </row>
    <row r="55" spans="1:22" x14ac:dyDescent="0.35">
      <c r="A55" s="153" t="s">
        <v>184</v>
      </c>
      <c r="B55" s="184">
        <v>273.7</v>
      </c>
      <c r="C55" s="184">
        <f>'Historical BS'!C11</f>
        <v>267.47000000000003</v>
      </c>
      <c r="D55" s="184">
        <f>'Historical BS'!D11</f>
        <v>233.99</v>
      </c>
      <c r="E55" s="184">
        <f>'Historical BS'!E11</f>
        <v>185.99</v>
      </c>
      <c r="F55" s="184">
        <f>'Historical BS'!F11</f>
        <v>187.41</v>
      </c>
      <c r="G55" s="184">
        <f>'Historical BS'!G11</f>
        <v>424.96</v>
      </c>
      <c r="H55" s="184">
        <f>'Historical BS'!H11</f>
        <v>369.18</v>
      </c>
      <c r="I55" s="74"/>
      <c r="J55" s="184">
        <f>'Historical BS'!I11</f>
        <v>256.2</v>
      </c>
      <c r="K55" s="74"/>
      <c r="L55" s="74"/>
      <c r="M55" s="74"/>
      <c r="N55" s="74"/>
      <c r="O55" s="58"/>
    </row>
    <row r="56" spans="1:22" x14ac:dyDescent="0.35">
      <c r="A56" s="153" t="s">
        <v>185</v>
      </c>
      <c r="B56" s="184">
        <f t="shared" ref="B56:H56" si="6">SUM(B53:B55)</f>
        <v>5529.88</v>
      </c>
      <c r="C56" s="184">
        <f t="shared" si="6"/>
        <v>5952.3200000000006</v>
      </c>
      <c r="D56" s="184">
        <f t="shared" si="6"/>
        <v>5555.89</v>
      </c>
      <c r="E56" s="184">
        <f t="shared" si="6"/>
        <v>5276.2</v>
      </c>
      <c r="F56" s="184">
        <f t="shared" si="6"/>
        <v>5541.98</v>
      </c>
      <c r="G56" s="184">
        <f t="shared" si="6"/>
        <v>6727.4299999999994</v>
      </c>
      <c r="H56" s="184">
        <f t="shared" si="6"/>
        <v>9000.52</v>
      </c>
      <c r="I56" s="74"/>
      <c r="J56" s="184">
        <f>SUM(J53:J55)</f>
        <v>9421.2000000000007</v>
      </c>
      <c r="K56" s="184">
        <f>J60</f>
        <v>10055.488612720237</v>
      </c>
      <c r="L56" s="184">
        <f>K60</f>
        <v>10732.804773691527</v>
      </c>
      <c r="M56" s="184">
        <f>L60</f>
        <v>11451.070664650695</v>
      </c>
      <c r="N56" s="184">
        <f>M60</f>
        <v>12208.070462737074</v>
      </c>
      <c r="O56" s="58"/>
    </row>
    <row r="57" spans="1:22" x14ac:dyDescent="0.35">
      <c r="A57" s="153" t="s">
        <v>186</v>
      </c>
      <c r="B57" s="184">
        <f t="shared" ref="B57:H57" si="7">B56+(-1*0.5*B39)</f>
        <v>5731.6500000000005</v>
      </c>
      <c r="C57" s="184">
        <f t="shared" si="7"/>
        <v>6093.255000000001</v>
      </c>
      <c r="D57" s="184">
        <f t="shared" si="7"/>
        <v>5825.01</v>
      </c>
      <c r="E57" s="184">
        <f t="shared" si="7"/>
        <v>5912.8850000000002</v>
      </c>
      <c r="F57" s="184">
        <f t="shared" si="7"/>
        <v>6641.4849999999997</v>
      </c>
      <c r="G57" s="184">
        <f t="shared" si="7"/>
        <v>7630.0899999999992</v>
      </c>
      <c r="H57" s="184">
        <f t="shared" si="7"/>
        <v>9734.0300000000007</v>
      </c>
      <c r="I57" s="74"/>
      <c r="J57" s="184">
        <f>J56+(-1*0.5*J39)</f>
        <v>10413.837870108671</v>
      </c>
      <c r="K57" s="184">
        <f>K56+(-1*0.5*K39)</f>
        <v>11115.129539061243</v>
      </c>
      <c r="L57" s="184">
        <f>L56+(-1*0.5*L39)</f>
        <v>11861.322360244698</v>
      </c>
      <c r="M57" s="184">
        <f>M56+(-1*0.5*M39)</f>
        <v>12650.120600363438</v>
      </c>
      <c r="N57" s="184">
        <f>N56+(-1*0.5*N39)</f>
        <v>13479.063394592582</v>
      </c>
      <c r="O57" s="58"/>
    </row>
    <row r="58" spans="1:22" x14ac:dyDescent="0.35">
      <c r="A58" s="153" t="s">
        <v>187</v>
      </c>
      <c r="B58" s="186">
        <f t="shared" ref="B58:H58" si="8">-B46/B57</f>
        <v>0.13617370216255353</v>
      </c>
      <c r="C58" s="186">
        <f t="shared" si="8"/>
        <v>0.12985998452387104</v>
      </c>
      <c r="D58" s="186">
        <f t="shared" si="8"/>
        <v>0.1401473988885856</v>
      </c>
      <c r="E58" s="186">
        <f t="shared" si="8"/>
        <v>0.14511021269650939</v>
      </c>
      <c r="F58" s="186">
        <f t="shared" si="8"/>
        <v>0.12843513160083928</v>
      </c>
      <c r="G58" s="186">
        <f t="shared" si="8"/>
        <v>0.13451217482362593</v>
      </c>
      <c r="H58" s="186">
        <f t="shared" si="8"/>
        <v>0.12624267646596526</v>
      </c>
      <c r="I58" s="74"/>
      <c r="J58" s="186">
        <f>CHOOSE($B$4,J63,J64,J65)</f>
        <v>0.12972999429681015</v>
      </c>
      <c r="K58" s="186">
        <f>CHOOSE($B$4,K63,K64,K65)</f>
        <v>0.12972999429681015</v>
      </c>
      <c r="L58" s="186">
        <f>CHOOSE($B$4,L63,L64,L65)</f>
        <v>0.12972999429681015</v>
      </c>
      <c r="M58" s="186">
        <f>CHOOSE($B$4,M63,M64,M65)</f>
        <v>0.12972999429681015</v>
      </c>
      <c r="N58" s="186">
        <f>CHOOSE($B$4,N63,N64,N65)</f>
        <v>0.12972999429681015</v>
      </c>
      <c r="O58" s="58"/>
    </row>
    <row r="59" spans="1:22" x14ac:dyDescent="0.35">
      <c r="A59" s="153" t="s">
        <v>188</v>
      </c>
      <c r="B59" s="182">
        <f t="shared" ref="B59:H59" si="9">-B57*B58</f>
        <v>-780.5</v>
      </c>
      <c r="C59" s="182">
        <f t="shared" si="9"/>
        <v>-791.27</v>
      </c>
      <c r="D59" s="182">
        <f t="shared" si="9"/>
        <v>-816.36</v>
      </c>
      <c r="E59" s="182">
        <f t="shared" si="9"/>
        <v>-858.02</v>
      </c>
      <c r="F59" s="182">
        <f t="shared" si="9"/>
        <v>-853</v>
      </c>
      <c r="G59" s="182">
        <f t="shared" si="9"/>
        <v>-1026.3399999999999</v>
      </c>
      <c r="H59" s="182">
        <f t="shared" si="9"/>
        <v>-1228.8499999999999</v>
      </c>
      <c r="I59" s="74"/>
      <c r="J59" s="182">
        <f>-J57*J58</f>
        <v>-1350.9871274971035</v>
      </c>
      <c r="K59" s="182">
        <f>-K57*K58</f>
        <v>-1441.9656917107211</v>
      </c>
      <c r="L59" s="182">
        <f>-L57*L58</f>
        <v>-1538.7692821471712</v>
      </c>
      <c r="M59" s="182">
        <f>-M57*M58</f>
        <v>-1641.1000733391093</v>
      </c>
      <c r="N59" s="182">
        <f>-N57*N58</f>
        <v>-1748.6388173068381</v>
      </c>
      <c r="O59" s="58"/>
    </row>
    <row r="60" spans="1:22" x14ac:dyDescent="0.35">
      <c r="A60" s="153" t="s">
        <v>189</v>
      </c>
      <c r="B60" s="184">
        <f t="shared" ref="B60:H60" si="10">B56+B59+ABS(B39)</f>
        <v>5152.92</v>
      </c>
      <c r="C60" s="184">
        <f t="shared" si="10"/>
        <v>5442.920000000001</v>
      </c>
      <c r="D60" s="184">
        <f t="shared" si="10"/>
        <v>5277.77</v>
      </c>
      <c r="E60" s="184">
        <f t="shared" si="10"/>
        <v>5691.55</v>
      </c>
      <c r="F60" s="184">
        <f t="shared" si="10"/>
        <v>6887.99</v>
      </c>
      <c r="G60" s="184">
        <f t="shared" si="10"/>
        <v>7506.4099999999989</v>
      </c>
      <c r="H60" s="184">
        <f t="shared" si="10"/>
        <v>9238.69</v>
      </c>
      <c r="I60" s="74"/>
      <c r="J60" s="184">
        <f>J56+J59-J39</f>
        <v>10055.488612720237</v>
      </c>
      <c r="K60" s="184">
        <f>K56+K59-K39</f>
        <v>10732.804773691527</v>
      </c>
      <c r="L60" s="184">
        <f>L56+L59-L39</f>
        <v>11451.070664650695</v>
      </c>
      <c r="M60" s="184">
        <f>M56+M59-M39</f>
        <v>12208.070462737074</v>
      </c>
      <c r="N60" s="184">
        <f>N56+N59-N39</f>
        <v>13001.417509141251</v>
      </c>
      <c r="O60" s="58"/>
    </row>
    <row r="61" spans="1:22" x14ac:dyDescent="0.35">
      <c r="A61" s="153"/>
      <c r="B61" s="68"/>
      <c r="C61" s="68"/>
      <c r="D61" s="68"/>
      <c r="E61" s="68"/>
      <c r="F61" s="68"/>
      <c r="G61" s="68"/>
      <c r="H61" s="68"/>
      <c r="I61" s="42"/>
      <c r="J61" s="42"/>
      <c r="K61" s="42"/>
      <c r="L61" s="42"/>
      <c r="M61" s="42"/>
      <c r="N61" s="42"/>
      <c r="O61" s="58"/>
    </row>
    <row r="62" spans="1:22" x14ac:dyDescent="0.35">
      <c r="A62" s="153"/>
      <c r="B62" s="68"/>
      <c r="C62" s="68"/>
      <c r="D62" s="68"/>
      <c r="E62" s="68"/>
      <c r="F62" s="68"/>
      <c r="G62" s="68"/>
      <c r="H62" s="68"/>
      <c r="I62" s="42"/>
      <c r="J62" s="42"/>
      <c r="K62" s="42"/>
      <c r="L62" s="42"/>
      <c r="M62" s="42"/>
      <c r="N62" s="42"/>
      <c r="O62" s="58"/>
    </row>
    <row r="63" spans="1:22" ht="18" customHeight="1" x14ac:dyDescent="0.35">
      <c r="A63" s="153"/>
      <c r="B63" s="258" t="s">
        <v>175</v>
      </c>
      <c r="C63" s="259"/>
      <c r="D63" s="183">
        <f>H58</f>
        <v>0.12624267646596526</v>
      </c>
      <c r="E63" s="42"/>
      <c r="F63" s="42"/>
      <c r="G63" s="42"/>
      <c r="H63" s="42"/>
      <c r="I63" s="42"/>
      <c r="J63" s="181">
        <f>$D$63</f>
        <v>0.12624267646596526</v>
      </c>
      <c r="K63" s="181">
        <f>$D$63</f>
        <v>0.12624267646596526</v>
      </c>
      <c r="L63" s="181">
        <f>$D$63</f>
        <v>0.12624267646596526</v>
      </c>
      <c r="M63" s="181">
        <f>$D$63</f>
        <v>0.12624267646596526</v>
      </c>
      <c r="N63" s="181">
        <f>$D$63</f>
        <v>0.12624267646596526</v>
      </c>
      <c r="O63" s="58"/>
    </row>
    <row r="64" spans="1:22" ht="18" customHeight="1" x14ac:dyDescent="0.35">
      <c r="A64" s="153"/>
      <c r="B64" s="258" t="s">
        <v>176</v>
      </c>
      <c r="C64" s="259"/>
      <c r="D64" s="183">
        <f>AVERAGE(F58:H58)</f>
        <v>0.12972999429681015</v>
      </c>
      <c r="E64" s="42"/>
      <c r="F64" s="42"/>
      <c r="G64" s="42"/>
      <c r="H64" s="42"/>
      <c r="I64" s="42"/>
      <c r="J64" s="181">
        <f>$D$64</f>
        <v>0.12972999429681015</v>
      </c>
      <c r="K64" s="181">
        <f>$D$64</f>
        <v>0.12972999429681015</v>
      </c>
      <c r="L64" s="181">
        <f>$D$64</f>
        <v>0.12972999429681015</v>
      </c>
      <c r="M64" s="181">
        <f>$D$64</f>
        <v>0.12972999429681015</v>
      </c>
      <c r="N64" s="181">
        <f>$D$64</f>
        <v>0.12972999429681015</v>
      </c>
      <c r="O64" s="58"/>
    </row>
    <row r="65" spans="1:15" ht="18" customHeight="1" x14ac:dyDescent="0.35">
      <c r="A65" s="153"/>
      <c r="B65" s="258" t="s">
        <v>179</v>
      </c>
      <c r="C65" s="259"/>
      <c r="D65" s="183">
        <f>AVERAGE(B58:H58)</f>
        <v>0.13435446873742143</v>
      </c>
      <c r="E65" s="42"/>
      <c r="F65" s="42"/>
      <c r="G65" s="42"/>
      <c r="H65" s="42"/>
      <c r="I65" s="42"/>
      <c r="J65" s="181">
        <f>$D$65</f>
        <v>0.13435446873742143</v>
      </c>
      <c r="K65" s="181">
        <f>$D$65</f>
        <v>0.13435446873742143</v>
      </c>
      <c r="L65" s="181">
        <f>$D$65</f>
        <v>0.13435446873742143</v>
      </c>
      <c r="M65" s="181">
        <f>$D$65</f>
        <v>0.13435446873742143</v>
      </c>
      <c r="N65" s="181">
        <f>$D$65</f>
        <v>0.13435446873742143</v>
      </c>
      <c r="O65" s="58"/>
    </row>
    <row r="66" spans="1:15" x14ac:dyDescent="0.35">
      <c r="A66" s="153"/>
      <c r="B66" s="42"/>
      <c r="C66" s="42"/>
      <c r="D66" s="42"/>
      <c r="E66" s="42"/>
      <c r="F66" s="42"/>
      <c r="G66" s="42"/>
      <c r="H66" s="42"/>
      <c r="I66" s="42"/>
      <c r="J66" s="42"/>
      <c r="K66" s="42"/>
      <c r="L66" s="42"/>
      <c r="M66" s="42"/>
      <c r="N66" s="42"/>
      <c r="O66" s="58"/>
    </row>
    <row r="67" spans="1:15" x14ac:dyDescent="0.35">
      <c r="A67" s="153"/>
      <c r="B67" s="42"/>
      <c r="C67" s="42"/>
      <c r="D67" s="42"/>
      <c r="E67" s="42"/>
      <c r="F67" s="42"/>
      <c r="G67" s="42"/>
      <c r="H67" s="42"/>
      <c r="I67" s="42"/>
      <c r="J67" s="42"/>
      <c r="K67" s="42"/>
      <c r="L67" s="42"/>
      <c r="M67" s="42"/>
      <c r="N67" s="42"/>
      <c r="O67" s="58"/>
    </row>
    <row r="68" spans="1:15" x14ac:dyDescent="0.35">
      <c r="A68" s="153" t="s">
        <v>190</v>
      </c>
      <c r="B68" s="178">
        <f>'Historical P&amp;L'!B23</f>
        <v>-854.85</v>
      </c>
      <c r="C68" s="178">
        <f>'Historical P&amp;L'!C23</f>
        <v>-1097.5999999999999</v>
      </c>
      <c r="D68" s="178">
        <f>'Historical P&amp;L'!D23</f>
        <v>-1102.9100000000001</v>
      </c>
      <c r="E68" s="178">
        <f>'Historical P&amp;L'!E23</f>
        <v>-1493.5</v>
      </c>
      <c r="F68" s="178">
        <f>'Historical P&amp;L'!F23</f>
        <v>-1790.08</v>
      </c>
      <c r="G68" s="178">
        <f>'Historical P&amp;L'!G23</f>
        <v>-1393.36</v>
      </c>
      <c r="H68" s="178">
        <f>'Historical P&amp;L'!H23</f>
        <v>-1608.75</v>
      </c>
      <c r="I68" s="42"/>
      <c r="J68" s="42"/>
      <c r="K68" s="42"/>
      <c r="L68" s="42"/>
      <c r="M68" s="42"/>
      <c r="N68" s="42"/>
      <c r="O68" s="58"/>
    </row>
    <row r="69" spans="1:15" x14ac:dyDescent="0.35">
      <c r="A69" s="153" t="s">
        <v>191</v>
      </c>
      <c r="B69" s="178">
        <f>'Historical P&amp;L'!B22</f>
        <v>3633.9899999999984</v>
      </c>
      <c r="C69" s="178">
        <f>'Historical P&amp;L'!C22</f>
        <v>4304.3500000000022</v>
      </c>
      <c r="D69" s="178">
        <f>'Historical P&amp;L'!D22</f>
        <v>4187.72</v>
      </c>
      <c r="E69" s="178">
        <f>'Historical P&amp;L'!E22</f>
        <v>5688.83</v>
      </c>
      <c r="F69" s="178">
        <f>'Historical P&amp;L'!F22</f>
        <v>7347.7699999999959</v>
      </c>
      <c r="G69" s="178">
        <f>'Historical P&amp;L'!G22</f>
        <v>5103.0700000000052</v>
      </c>
      <c r="H69" s="178">
        <f>'Historical P&amp;L'!H22</f>
        <v>6003.4400000000023</v>
      </c>
      <c r="I69" s="42"/>
      <c r="J69" s="42"/>
      <c r="K69" s="42"/>
      <c r="L69" s="42"/>
      <c r="M69" s="42"/>
      <c r="N69" s="42"/>
      <c r="O69" s="58"/>
    </row>
    <row r="70" spans="1:15" x14ac:dyDescent="0.35">
      <c r="A70" s="153" t="s">
        <v>67</v>
      </c>
      <c r="B70" s="179">
        <f t="shared" ref="B70:H70" si="11">-B68/B69</f>
        <v>0.23523730114832467</v>
      </c>
      <c r="C70" s="179">
        <f t="shared" si="11"/>
        <v>0.25499785101118622</v>
      </c>
      <c r="D70" s="179">
        <f t="shared" si="11"/>
        <v>0.26336765590822692</v>
      </c>
      <c r="E70" s="179">
        <f t="shared" si="11"/>
        <v>0.26253201449155628</v>
      </c>
      <c r="F70" s="179">
        <f t="shared" si="11"/>
        <v>0.24362221463110589</v>
      </c>
      <c r="G70" s="179">
        <f t="shared" si="11"/>
        <v>0.27304348166887749</v>
      </c>
      <c r="H70" s="179">
        <f t="shared" si="11"/>
        <v>0.26797136308516439</v>
      </c>
      <c r="I70" s="42"/>
      <c r="J70" s="179">
        <f>CHOOSE($B$4,J72,J73,J74)</f>
        <v>0.25725312599206313</v>
      </c>
      <c r="K70" s="179">
        <f>CHOOSE($B$4,K72,K73,K74)</f>
        <v>0.25725312599206313</v>
      </c>
      <c r="L70" s="179">
        <f>CHOOSE($B$4,L72,L73,L74)</f>
        <v>0.25725312599206313</v>
      </c>
      <c r="M70" s="179">
        <f>CHOOSE($B$4,M72,M73,M74)</f>
        <v>0.25725312599206313</v>
      </c>
      <c r="N70" s="179">
        <f>CHOOSE($B$4,N72,N73,N74)</f>
        <v>0.25725312599206313</v>
      </c>
      <c r="O70" s="58"/>
    </row>
    <row r="71" spans="1:15" x14ac:dyDescent="0.35">
      <c r="A71" s="60"/>
      <c r="B71" s="42"/>
      <c r="C71" s="42"/>
      <c r="D71" s="42"/>
      <c r="E71" s="42"/>
      <c r="F71" s="42"/>
      <c r="G71" s="42"/>
      <c r="H71" s="42"/>
      <c r="I71" s="42"/>
      <c r="J71" s="42"/>
      <c r="K71" s="42"/>
      <c r="L71" s="42"/>
      <c r="M71" s="42"/>
      <c r="N71" s="42"/>
      <c r="O71" s="58"/>
    </row>
    <row r="72" spans="1:15" x14ac:dyDescent="0.35">
      <c r="A72" s="60"/>
      <c r="B72" s="67"/>
      <c r="C72" s="67"/>
      <c r="D72" s="67"/>
      <c r="E72" s="67"/>
      <c r="F72" s="67"/>
      <c r="G72" s="67"/>
      <c r="H72" s="67"/>
      <c r="I72" s="42"/>
      <c r="J72" s="181">
        <v>0.24</v>
      </c>
      <c r="K72" s="181">
        <v>0.24</v>
      </c>
      <c r="L72" s="181">
        <v>0.24</v>
      </c>
      <c r="M72" s="181">
        <v>0.24</v>
      </c>
      <c r="N72" s="181">
        <v>0.24</v>
      </c>
      <c r="O72" s="58"/>
    </row>
    <row r="73" spans="1:15" x14ac:dyDescent="0.35">
      <c r="A73" s="60"/>
      <c r="B73" s="67"/>
      <c r="C73" s="67"/>
      <c r="D73" s="67"/>
      <c r="E73" s="67"/>
      <c r="F73" s="67"/>
      <c r="G73" s="67"/>
      <c r="H73" s="67"/>
      <c r="I73" s="42"/>
      <c r="J73" s="181">
        <f>AVERAGE($B$70:$H$70)</f>
        <v>0.25725312599206313</v>
      </c>
      <c r="K73" s="181">
        <f>AVERAGE($B$70:$H$70)</f>
        <v>0.25725312599206313</v>
      </c>
      <c r="L73" s="181">
        <f>AVERAGE($B$70:$H$70)</f>
        <v>0.25725312599206313</v>
      </c>
      <c r="M73" s="181">
        <f>AVERAGE($B$70:$H$70)</f>
        <v>0.25725312599206313</v>
      </c>
      <c r="N73" s="181">
        <f>AVERAGE($B$70:$H$70)</f>
        <v>0.25725312599206313</v>
      </c>
      <c r="O73" s="58"/>
    </row>
    <row r="74" spans="1:15" x14ac:dyDescent="0.35">
      <c r="A74" s="60"/>
      <c r="B74" s="67"/>
      <c r="C74" s="67"/>
      <c r="D74" s="67"/>
      <c r="E74" s="67"/>
      <c r="F74" s="67"/>
      <c r="G74" s="67"/>
      <c r="H74" s="67"/>
      <c r="I74" s="42"/>
      <c r="J74" s="181">
        <v>0.27</v>
      </c>
      <c r="K74" s="181">
        <v>0.27</v>
      </c>
      <c r="L74" s="181">
        <v>0.27</v>
      </c>
      <c r="M74" s="181">
        <v>0.27</v>
      </c>
      <c r="N74" s="181">
        <v>0.27</v>
      </c>
      <c r="O74" s="58"/>
    </row>
    <row r="75" spans="1:15" x14ac:dyDescent="0.35">
      <c r="A75" s="42"/>
      <c r="B75" s="42"/>
      <c r="C75" s="42"/>
      <c r="D75" s="42"/>
      <c r="E75" s="42"/>
      <c r="F75" s="42"/>
      <c r="G75" s="42"/>
      <c r="H75" s="42"/>
      <c r="I75" s="42"/>
      <c r="J75" s="42"/>
      <c r="K75" s="42"/>
      <c r="L75" s="42"/>
      <c r="M75" s="42"/>
      <c r="N75" s="42"/>
    </row>
    <row r="76" spans="1:15" x14ac:dyDescent="0.35">
      <c r="A76" s="42"/>
      <c r="B76" s="42" t="s">
        <v>192</v>
      </c>
      <c r="C76" s="42"/>
      <c r="D76" s="42"/>
      <c r="E76" s="42"/>
      <c r="F76" s="42"/>
      <c r="G76" s="42"/>
      <c r="H76" s="42"/>
      <c r="I76" s="42"/>
      <c r="J76" s="42"/>
      <c r="K76" s="42"/>
      <c r="L76" s="42"/>
      <c r="M76" s="42"/>
      <c r="N76" s="42"/>
    </row>
    <row r="77" spans="1:15" ht="18" customHeight="1" x14ac:dyDescent="0.35">
      <c r="A77" s="120" t="s">
        <v>161</v>
      </c>
      <c r="B77" s="120" t="s">
        <v>15</v>
      </c>
      <c r="C77" s="120" t="s">
        <v>20</v>
      </c>
      <c r="D77" s="120" t="s">
        <v>23</v>
      </c>
      <c r="E77" s="120" t="s">
        <v>28</v>
      </c>
      <c r="F77" s="120" t="s">
        <v>33</v>
      </c>
      <c r="G77" s="120" t="s">
        <v>38</v>
      </c>
      <c r="H77" s="120" t="s">
        <v>42</v>
      </c>
      <c r="I77" s="123"/>
      <c r="J77" s="120" t="s">
        <v>162</v>
      </c>
      <c r="K77" s="120" t="s">
        <v>163</v>
      </c>
      <c r="L77" s="120" t="s">
        <v>164</v>
      </c>
      <c r="M77" s="120" t="s">
        <v>165</v>
      </c>
      <c r="N77" s="121" t="s">
        <v>166</v>
      </c>
    </row>
    <row r="78" spans="1:15" x14ac:dyDescent="0.35">
      <c r="A78" s="153" t="str">
        <f t="shared" ref="A78:H78" si="12">A11</f>
        <v>Net Operating Revenue</v>
      </c>
      <c r="B78" s="187">
        <f t="shared" si="12"/>
        <v>20211.25</v>
      </c>
      <c r="C78" s="187">
        <f t="shared" si="12"/>
        <v>21712.79</v>
      </c>
      <c r="D78" s="187">
        <f t="shared" si="12"/>
        <v>29101.279999999999</v>
      </c>
      <c r="E78" s="187">
        <f t="shared" si="12"/>
        <v>34488.590000000004</v>
      </c>
      <c r="F78" s="187">
        <f t="shared" si="12"/>
        <v>35494.729999999996</v>
      </c>
      <c r="G78" s="187">
        <f t="shared" si="12"/>
        <v>33905.620000000003</v>
      </c>
      <c r="H78" s="187">
        <f t="shared" si="12"/>
        <v>35583.54</v>
      </c>
      <c r="I78" s="132"/>
      <c r="J78" s="187">
        <f>J11</f>
        <v>38074.387800000004</v>
      </c>
      <c r="K78" s="187">
        <f>K11</f>
        <v>40644.408976500003</v>
      </c>
      <c r="L78" s="187">
        <f>L11</f>
        <v>43286.295559972503</v>
      </c>
      <c r="M78" s="187">
        <f>M11</f>
        <v>45991.689032470786</v>
      </c>
      <c r="N78" s="188">
        <f>N11</f>
        <v>48751.190374419035</v>
      </c>
    </row>
    <row r="79" spans="1:15" x14ac:dyDescent="0.35">
      <c r="A79" s="153" t="str">
        <f t="shared" ref="A79:H79" si="13">A18</f>
        <v>Total Material-Related Cost</v>
      </c>
      <c r="B79" s="189">
        <f t="shared" si="13"/>
        <v>-11383.460000000001</v>
      </c>
      <c r="C79" s="189">
        <f t="shared" si="13"/>
        <v>-12097.23</v>
      </c>
      <c r="D79" s="189">
        <f t="shared" si="13"/>
        <v>-18300.75</v>
      </c>
      <c r="E79" s="189">
        <f t="shared" si="13"/>
        <v>-21156.500000000004</v>
      </c>
      <c r="F79" s="189">
        <f t="shared" si="13"/>
        <v>-20090.21</v>
      </c>
      <c r="G79" s="189">
        <f t="shared" si="13"/>
        <v>-19515.78</v>
      </c>
      <c r="H79" s="189">
        <f t="shared" si="13"/>
        <v>-20001.78</v>
      </c>
      <c r="I79" s="133"/>
      <c r="J79" s="189">
        <f>J18</f>
        <v>-22117.818931691014</v>
      </c>
      <c r="K79" s="189">
        <f>K18</f>
        <v>-23610.771709580156</v>
      </c>
      <c r="L79" s="189">
        <f>L18</f>
        <v>-25145.471870702866</v>
      </c>
      <c r="M79" s="189">
        <f>M18</f>
        <v>-26717.063862621795</v>
      </c>
      <c r="N79" s="188">
        <f>N18</f>
        <v>-28320.087694379105</v>
      </c>
    </row>
    <row r="80" spans="1:15" x14ac:dyDescent="0.35">
      <c r="A80" s="153" t="s">
        <v>193</v>
      </c>
      <c r="B80" s="190">
        <f t="shared" ref="B80:H80" si="14">SUM(B78:B79)/B78</f>
        <v>0.43677605294081262</v>
      </c>
      <c r="C80" s="190">
        <f t="shared" si="14"/>
        <v>0.44285234647412891</v>
      </c>
      <c r="D80" s="190">
        <f t="shared" si="14"/>
        <v>0.37113590879851333</v>
      </c>
      <c r="E80" s="190">
        <f t="shared" si="14"/>
        <v>0.38656523795260977</v>
      </c>
      <c r="F80" s="190">
        <f t="shared" si="14"/>
        <v>0.43399456764426714</v>
      </c>
      <c r="G80" s="190">
        <f t="shared" si="14"/>
        <v>0.42440869684730742</v>
      </c>
      <c r="H80" s="190">
        <f t="shared" si="14"/>
        <v>0.43789235135121468</v>
      </c>
      <c r="I80" s="124"/>
      <c r="J80" s="190">
        <f>SUM(J78:J79)/J78</f>
        <v>0.41908930885840767</v>
      </c>
      <c r="K80" s="190">
        <f>SUM(K78:K79)/K78</f>
        <v>0.41908930885840767</v>
      </c>
      <c r="L80" s="190">
        <f>SUM(L78:L79)/L78</f>
        <v>0.41908930885840767</v>
      </c>
      <c r="M80" s="190">
        <f>SUM(M78:M79)/M78</f>
        <v>0.41908930885840767</v>
      </c>
      <c r="N80" s="191">
        <f>SUM(N78:N79)/N78</f>
        <v>0.41908930885840767</v>
      </c>
    </row>
    <row r="81" spans="1:14" x14ac:dyDescent="0.35">
      <c r="A81" s="153" t="str">
        <f t="shared" ref="A81:H81" si="15">A25</f>
        <v>Employee Benefit Expenses</v>
      </c>
      <c r="B81" s="187">
        <f t="shared" si="15"/>
        <v>-1366.09</v>
      </c>
      <c r="C81" s="187">
        <f t="shared" si="15"/>
        <v>-1540.75</v>
      </c>
      <c r="D81" s="187">
        <f t="shared" si="15"/>
        <v>-1786.67</v>
      </c>
      <c r="E81" s="187">
        <f t="shared" si="15"/>
        <v>-2028.07</v>
      </c>
      <c r="F81" s="187">
        <f t="shared" si="15"/>
        <v>-2326.1799999999998</v>
      </c>
      <c r="G81" s="187">
        <f t="shared" si="15"/>
        <v>-2597.23</v>
      </c>
      <c r="H81" s="187">
        <f t="shared" si="15"/>
        <v>-2799.59</v>
      </c>
      <c r="I81" s="132"/>
      <c r="J81" s="187">
        <f>J25</f>
        <v>-2608.4450908733411</v>
      </c>
      <c r="K81" s="187">
        <f>K25</f>
        <v>-2784.5151345072918</v>
      </c>
      <c r="L81" s="187">
        <f>L25</f>
        <v>-2965.5086182502655</v>
      </c>
      <c r="M81" s="187">
        <f>M25</f>
        <v>-3150.8529068909074</v>
      </c>
      <c r="N81" s="188">
        <f>N25</f>
        <v>-3339.9040813043616</v>
      </c>
    </row>
    <row r="82" spans="1:14" x14ac:dyDescent="0.35">
      <c r="A82" s="153" t="str">
        <f t="shared" ref="A82:H82" si="16">A32</f>
        <v>Other Operating Expenses</v>
      </c>
      <c r="B82" s="189">
        <f t="shared" si="16"/>
        <v>-3299.93</v>
      </c>
      <c r="C82" s="189">
        <f t="shared" si="16"/>
        <v>-3219.21</v>
      </c>
      <c r="D82" s="189">
        <f t="shared" si="16"/>
        <v>-4210.25</v>
      </c>
      <c r="E82" s="189">
        <f t="shared" si="16"/>
        <v>-5044.18</v>
      </c>
      <c r="F82" s="189">
        <f t="shared" si="16"/>
        <v>-5493.36</v>
      </c>
      <c r="G82" s="189">
        <f t="shared" si="16"/>
        <v>-5786.4</v>
      </c>
      <c r="H82" s="189">
        <f t="shared" si="16"/>
        <v>-6086.25</v>
      </c>
      <c r="I82" s="133"/>
      <c r="J82" s="189">
        <f>J32</f>
        <v>-5977.3315511716</v>
      </c>
      <c r="K82" s="189">
        <f>K32</f>
        <v>-6380.8014308756829</v>
      </c>
      <c r="L82" s="189">
        <f>L32</f>
        <v>-6795.5535238826023</v>
      </c>
      <c r="M82" s="189">
        <f>M32</f>
        <v>-7220.2756191252656</v>
      </c>
      <c r="N82" s="188">
        <f>N32</f>
        <v>-7653.4921562727814</v>
      </c>
    </row>
    <row r="83" spans="1:14" x14ac:dyDescent="0.35">
      <c r="A83" s="153" t="s">
        <v>194</v>
      </c>
      <c r="B83" s="192">
        <f t="shared" ref="B83:H83" si="17">B78+B79+B81+B82</f>
        <v>4161.7699999999986</v>
      </c>
      <c r="C83" s="192">
        <f t="shared" si="17"/>
        <v>4855.6000000000013</v>
      </c>
      <c r="D83" s="192">
        <f t="shared" si="17"/>
        <v>4803.6099999999988</v>
      </c>
      <c r="E83" s="192">
        <f t="shared" si="17"/>
        <v>6259.84</v>
      </c>
      <c r="F83" s="192">
        <f t="shared" si="17"/>
        <v>7584.9799999999968</v>
      </c>
      <c r="G83" s="192">
        <f t="shared" si="17"/>
        <v>6006.2100000000046</v>
      </c>
      <c r="H83" s="192">
        <f t="shared" si="17"/>
        <v>6695.9200000000019</v>
      </c>
      <c r="I83" s="134"/>
      <c r="J83" s="192">
        <f>J78+J79+J81+J82</f>
        <v>7370.7922262640486</v>
      </c>
      <c r="K83" s="192">
        <f>K78+K79+K81+K82</f>
        <v>7868.3207015368716</v>
      </c>
      <c r="L83" s="192">
        <f>L78+L79+L81+L82</f>
        <v>8379.7615471367681</v>
      </c>
      <c r="M83" s="192">
        <f>M78+M79+M81+M82</f>
        <v>8903.4966438328156</v>
      </c>
      <c r="N83" s="193">
        <f>N78+N79+N81+N82</f>
        <v>9437.7064424627879</v>
      </c>
    </row>
    <row r="84" spans="1:14" x14ac:dyDescent="0.35">
      <c r="A84" s="153" t="str">
        <f t="shared" ref="A84:H84" si="18">A59</f>
        <v>Depreciation Amount</v>
      </c>
      <c r="B84" s="189">
        <f t="shared" si="18"/>
        <v>-780.5</v>
      </c>
      <c r="C84" s="189">
        <f t="shared" si="18"/>
        <v>-791.27</v>
      </c>
      <c r="D84" s="189">
        <f t="shared" si="18"/>
        <v>-816.36</v>
      </c>
      <c r="E84" s="189">
        <f t="shared" si="18"/>
        <v>-858.02</v>
      </c>
      <c r="F84" s="189">
        <f t="shared" si="18"/>
        <v>-853</v>
      </c>
      <c r="G84" s="189">
        <f t="shared" si="18"/>
        <v>-1026.3399999999999</v>
      </c>
      <c r="H84" s="189">
        <f t="shared" si="18"/>
        <v>-1228.8499999999999</v>
      </c>
      <c r="I84" s="133"/>
      <c r="J84" s="189">
        <f>J59</f>
        <v>-1350.9871274971035</v>
      </c>
      <c r="K84" s="189">
        <f>K59</f>
        <v>-1441.9656917107211</v>
      </c>
      <c r="L84" s="189">
        <f>L59</f>
        <v>-1538.7692821471712</v>
      </c>
      <c r="M84" s="189">
        <f>M59</f>
        <v>-1641.1000733391093</v>
      </c>
      <c r="N84" s="188">
        <f>N59</f>
        <v>-1748.6388173068381</v>
      </c>
    </row>
    <row r="85" spans="1:14" x14ac:dyDescent="0.35">
      <c r="A85" s="153" t="s">
        <v>59</v>
      </c>
      <c r="B85" s="192">
        <f t="shared" ref="B85:H85" si="19">B83+B84</f>
        <v>3381.2699999999986</v>
      </c>
      <c r="C85" s="192">
        <f t="shared" si="19"/>
        <v>4064.3300000000013</v>
      </c>
      <c r="D85" s="192">
        <f t="shared" si="19"/>
        <v>3987.2499999999986</v>
      </c>
      <c r="E85" s="192">
        <f t="shared" si="19"/>
        <v>5401.82</v>
      </c>
      <c r="F85" s="192">
        <f t="shared" si="19"/>
        <v>6731.9799999999968</v>
      </c>
      <c r="G85" s="192">
        <f t="shared" si="19"/>
        <v>4979.8700000000044</v>
      </c>
      <c r="H85" s="192">
        <f t="shared" si="19"/>
        <v>5467.0700000000015</v>
      </c>
      <c r="I85" s="134"/>
      <c r="J85" s="192">
        <f>J83+J84</f>
        <v>6019.8050987669449</v>
      </c>
      <c r="K85" s="192">
        <f>K83+K84</f>
        <v>6426.3550098261503</v>
      </c>
      <c r="L85" s="192">
        <f>L83+L84</f>
        <v>6840.9922649895971</v>
      </c>
      <c r="M85" s="192">
        <f>M83+M84</f>
        <v>7262.3965704937063</v>
      </c>
      <c r="N85" s="193">
        <f>N83+N84</f>
        <v>7689.0676251559498</v>
      </c>
    </row>
    <row r="86" spans="1:14" x14ac:dyDescent="0.35">
      <c r="A86" s="153" t="s">
        <v>195</v>
      </c>
      <c r="B86" s="187">
        <f t="shared" ref="B86:H86" si="20">-B85*B87</f>
        <v>-795.40082925379545</v>
      </c>
      <c r="C86" s="187">
        <f t="shared" si="20"/>
        <v>-1036.3954158002948</v>
      </c>
      <c r="D86" s="187">
        <f t="shared" si="20"/>
        <v>-1050.1126860200775</v>
      </c>
      <c r="E86" s="187">
        <f t="shared" si="20"/>
        <v>-1418.1506865207784</v>
      </c>
      <c r="F86" s="187">
        <f t="shared" si="20"/>
        <v>-1640.0598764523115</v>
      </c>
      <c r="G86" s="187">
        <f t="shared" si="20"/>
        <v>-1359.7210430583941</v>
      </c>
      <c r="H86" s="187">
        <f t="shared" si="20"/>
        <v>-1465.0181999820102</v>
      </c>
      <c r="I86" s="132"/>
      <c r="J86" s="187">
        <f>-J85*J87</f>
        <v>-1548.6136795207569</v>
      </c>
      <c r="K86" s="187">
        <f>-K85*K87</f>
        <v>-1653.1999150125328</v>
      </c>
      <c r="L86" s="187">
        <f>-L85*L87</f>
        <v>-1759.8666450560982</v>
      </c>
      <c r="M86" s="187">
        <f>-M85*M87</f>
        <v>-1868.2742199535446</v>
      </c>
      <c r="N86" s="188">
        <f>-N85*N87</f>
        <v>-1978.0366825357371</v>
      </c>
    </row>
    <row r="87" spans="1:14" x14ac:dyDescent="0.35">
      <c r="A87" s="153" t="str">
        <f t="shared" ref="A87:H87" si="21">A70</f>
        <v>Tax Rate (%)</v>
      </c>
      <c r="B87" s="194">
        <f t="shared" si="21"/>
        <v>0.23523730114832467</v>
      </c>
      <c r="C87" s="194">
        <f t="shared" si="21"/>
        <v>0.25499785101118622</v>
      </c>
      <c r="D87" s="194">
        <f t="shared" si="21"/>
        <v>0.26336765590822692</v>
      </c>
      <c r="E87" s="194">
        <f t="shared" si="21"/>
        <v>0.26253201449155628</v>
      </c>
      <c r="F87" s="194">
        <f t="shared" si="21"/>
        <v>0.24362221463110589</v>
      </c>
      <c r="G87" s="194">
        <f t="shared" si="21"/>
        <v>0.27304348166887749</v>
      </c>
      <c r="H87" s="194">
        <f t="shared" si="21"/>
        <v>0.26797136308516439</v>
      </c>
      <c r="I87" s="125"/>
      <c r="J87" s="194">
        <f>J70</f>
        <v>0.25725312599206313</v>
      </c>
      <c r="K87" s="194">
        <f>K70</f>
        <v>0.25725312599206313</v>
      </c>
      <c r="L87" s="194">
        <f>L70</f>
        <v>0.25725312599206313</v>
      </c>
      <c r="M87" s="194">
        <f>M70</f>
        <v>0.25725312599206313</v>
      </c>
      <c r="N87" s="195">
        <f>N70</f>
        <v>0.25725312599206313</v>
      </c>
    </row>
    <row r="88" spans="1:14" x14ac:dyDescent="0.35">
      <c r="A88" s="154" t="s">
        <v>196</v>
      </c>
      <c r="B88" s="196">
        <f t="shared" ref="B88:H88" si="22">B85+B86</f>
        <v>2585.8691707462031</v>
      </c>
      <c r="C88" s="196">
        <f t="shared" si="22"/>
        <v>3027.9345841997065</v>
      </c>
      <c r="D88" s="196">
        <f t="shared" si="22"/>
        <v>2937.1373139799211</v>
      </c>
      <c r="E88" s="196">
        <f t="shared" si="22"/>
        <v>3983.6693134792213</v>
      </c>
      <c r="F88" s="196">
        <f t="shared" si="22"/>
        <v>5091.9201235476849</v>
      </c>
      <c r="G88" s="196">
        <f t="shared" si="22"/>
        <v>3620.1489569416103</v>
      </c>
      <c r="H88" s="196">
        <f t="shared" si="22"/>
        <v>4002.0518000179914</v>
      </c>
      <c r="I88" s="135"/>
      <c r="J88" s="196">
        <f>J85+J86</f>
        <v>4471.1914192461882</v>
      </c>
      <c r="K88" s="196">
        <f>K85+K86</f>
        <v>4773.1550948136173</v>
      </c>
      <c r="L88" s="196">
        <f>L85+L86</f>
        <v>5081.1256199334985</v>
      </c>
      <c r="M88" s="196">
        <f>M85+M86</f>
        <v>5394.1223505401613</v>
      </c>
      <c r="N88" s="197">
        <f>N85+N86</f>
        <v>5711.030942620213</v>
      </c>
    </row>
    <row r="89" spans="1:14" ht="18" customHeight="1" x14ac:dyDescent="0.35"/>
  </sheetData>
  <sheetProtection algorithmName="SHA-512" hashValue="0jAXmJ0/iny8SytMr56CdLjgoFTXesP76EZdDFn78N2G2egQn+EfsOUfQg/loR/0noHC+M6m962KgRMGx6f6rg==" saltValue="sIypBn91aZTCcZTxNXwVFA==" spinCount="100000" sheet="1" objects="1" scenarios="1"/>
  <mergeCells count="12">
    <mergeCell ref="B65:C65"/>
    <mergeCell ref="B43:C43"/>
    <mergeCell ref="A1:N1"/>
    <mergeCell ref="B44:C44"/>
    <mergeCell ref="B64:C64"/>
    <mergeCell ref="B51:C51"/>
    <mergeCell ref="J7:N7"/>
    <mergeCell ref="A2:N2"/>
    <mergeCell ref="B42:C42"/>
    <mergeCell ref="B50:C50"/>
    <mergeCell ref="B63:C63"/>
    <mergeCell ref="B49:C49"/>
  </mergeCells>
  <dataValidations count="1">
    <dataValidation type="whole" allowBlank="1" showInputMessage="1" showErrorMessage="1" errorTitle="Error (Incorrect Value)" error="Choose between 1 and 3 ONLY according to the DCF values you want to evaluate." promptTitle="Case Selector" prompt="Choose between 1 and 3 according to the DCF values you want to evaluate." sqref="B4" xr:uid="{00000000-0002-0000-0500-000000000000}">
      <formula1>1</formula1>
      <formula2>3</formula2>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9"/>
  <sheetViews>
    <sheetView showGridLines="0" workbookViewId="0">
      <selection activeCell="F15" sqref="F15"/>
    </sheetView>
  </sheetViews>
  <sheetFormatPr defaultColWidth="9.1796875" defaultRowHeight="17.5" x14ac:dyDescent="0.35"/>
  <cols>
    <col min="1" max="1" width="40.453125" style="3" bestFit="1" customWidth="1"/>
    <col min="2" max="8" width="13.7265625" style="3" bestFit="1" customWidth="1"/>
    <col min="9" max="9" width="1.453125" style="3" customWidth="1"/>
    <col min="10" max="14" width="13.7265625" style="3" bestFit="1" customWidth="1"/>
    <col min="15" max="15" width="115" style="3" bestFit="1" customWidth="1"/>
    <col min="16" max="18" width="9.1796875" style="3" customWidth="1"/>
    <col min="19" max="16384" width="9.1796875" style="3"/>
  </cols>
  <sheetData>
    <row r="1" spans="1:15" s="126" customFormat="1" ht="24" customHeight="1" x14ac:dyDescent="0.35">
      <c r="A1" s="250" t="s">
        <v>197</v>
      </c>
      <c r="B1" s="250"/>
      <c r="C1" s="250"/>
      <c r="D1" s="250"/>
      <c r="E1" s="250"/>
      <c r="F1" s="250"/>
      <c r="G1" s="250"/>
      <c r="H1" s="250"/>
      <c r="I1" s="250"/>
      <c r="J1" s="250"/>
      <c r="K1" s="250"/>
      <c r="L1" s="250"/>
      <c r="M1" s="250"/>
      <c r="N1" s="250"/>
    </row>
    <row r="2" spans="1:15" s="31" customFormat="1" ht="18" customHeight="1" x14ac:dyDescent="0.35">
      <c r="A2" s="257" t="s">
        <v>46</v>
      </c>
      <c r="B2" s="257"/>
      <c r="C2" s="257"/>
      <c r="D2" s="257"/>
      <c r="E2" s="257"/>
      <c r="F2" s="257"/>
      <c r="G2" s="257"/>
      <c r="H2" s="257"/>
      <c r="I2" s="257"/>
      <c r="J2" s="257"/>
      <c r="K2" s="257"/>
      <c r="L2" s="257"/>
      <c r="M2" s="257"/>
      <c r="N2" s="257"/>
    </row>
    <row r="3" spans="1:15" s="69" customFormat="1" ht="18" customHeight="1" x14ac:dyDescent="0.35"/>
    <row r="4" spans="1:15" ht="18" customHeight="1" x14ac:dyDescent="0.35">
      <c r="A4" s="104" t="s">
        <v>161</v>
      </c>
      <c r="B4" s="105" t="s">
        <v>15</v>
      </c>
      <c r="C4" s="105" t="s">
        <v>20</v>
      </c>
      <c r="D4" s="105" t="s">
        <v>23</v>
      </c>
      <c r="E4" s="105" t="s">
        <v>28</v>
      </c>
      <c r="F4" s="105" t="s">
        <v>33</v>
      </c>
      <c r="G4" s="105" t="s">
        <v>38</v>
      </c>
      <c r="H4" s="105" t="s">
        <v>42</v>
      </c>
      <c r="I4" s="105"/>
      <c r="J4" s="105" t="s">
        <v>162</v>
      </c>
      <c r="K4" s="105" t="s">
        <v>163</v>
      </c>
      <c r="L4" s="105" t="s">
        <v>164</v>
      </c>
      <c r="M4" s="105" t="s">
        <v>165</v>
      </c>
      <c r="N4" s="105" t="s">
        <v>166</v>
      </c>
      <c r="O4" s="104" t="s">
        <v>167</v>
      </c>
    </row>
    <row r="5" spans="1:15" s="42" customFormat="1" ht="15.65" customHeight="1" x14ac:dyDescent="0.35">
      <c r="A5" s="153" t="s">
        <v>198</v>
      </c>
      <c r="B5" s="198">
        <f>'Historical BS'!C7</f>
        <v>1795.22</v>
      </c>
      <c r="C5" s="198">
        <f>'Historical BS'!D7</f>
        <v>2602.17</v>
      </c>
      <c r="D5" s="198">
        <f>'Historical BS'!E7</f>
        <v>3871.44</v>
      </c>
      <c r="E5" s="198">
        <f>'Historical BS'!F7</f>
        <v>4636.9399999999996</v>
      </c>
      <c r="F5" s="198">
        <f>'Historical BS'!G7</f>
        <v>4889.05</v>
      </c>
      <c r="G5" s="198">
        <f>'Historical BS'!H7</f>
        <v>4313.6499999999996</v>
      </c>
      <c r="H5" s="198">
        <f>'Historical BS'!I7</f>
        <v>4461.8</v>
      </c>
      <c r="I5" s="59"/>
      <c r="J5" s="198">
        <f>(J6/365)*'Forecast P&amp;L'!J11</f>
        <v>5009.3456943324172</v>
      </c>
      <c r="K5" s="198">
        <f>(K6/365)*'Forecast P&amp;L'!K11</f>
        <v>5347.4765286998545</v>
      </c>
      <c r="L5" s="198">
        <f>(L6/365)*'Forecast P&amp;L'!L11</f>
        <v>5695.0625030653455</v>
      </c>
      <c r="M5" s="198">
        <f>(M6/365)*'Forecast P&amp;L'!M11</f>
        <v>6051.0039095069296</v>
      </c>
      <c r="N5" s="199">
        <f>(N6/365)*'Forecast P&amp;L'!N11</f>
        <v>6414.0641440773461</v>
      </c>
      <c r="O5" s="60"/>
    </row>
    <row r="6" spans="1:15" s="42" customFormat="1" ht="15.65" customHeight="1" x14ac:dyDescent="0.35">
      <c r="A6" s="153" t="s">
        <v>199</v>
      </c>
      <c r="B6" s="200">
        <f>(B5/'Forecast P&amp;L'!B11)*365</f>
        <v>32.420325313872226</v>
      </c>
      <c r="C6" s="200">
        <f>(C5/'Forecast P&amp;L'!C11)*365</f>
        <v>43.743436472235949</v>
      </c>
      <c r="D6" s="200">
        <f>(D5/'Forecast P&amp;L'!D11)*365</f>
        <v>48.557163121347244</v>
      </c>
      <c r="E6" s="200">
        <f>(E5/'Forecast P&amp;L'!E11)*365</f>
        <v>49.073711044725215</v>
      </c>
      <c r="F6" s="200">
        <f>(F5/'Forecast P&amp;L'!F11)*365</f>
        <v>50.275160566089674</v>
      </c>
      <c r="G6" s="200">
        <f>(G5/'Forecast P&amp;L'!G11)*365</f>
        <v>46.437205690384062</v>
      </c>
      <c r="H6" s="200">
        <f>(H5/'Forecast P&amp;L'!H11)*365</f>
        <v>45.767144022208022</v>
      </c>
      <c r="I6" s="59"/>
      <c r="J6" s="200">
        <f>AVERAGE($D$6:$H$6)</f>
        <v>48.022076888950849</v>
      </c>
      <c r="K6" s="200">
        <f>AVERAGE($D$6:$H$6)</f>
        <v>48.022076888950849</v>
      </c>
      <c r="L6" s="200">
        <f>AVERAGE($D$6:$H$6)</f>
        <v>48.022076888950849</v>
      </c>
      <c r="M6" s="200">
        <f>AVERAGE($D$6:$H$6)</f>
        <v>48.022076888950849</v>
      </c>
      <c r="N6" s="201">
        <f>AVERAGE($D$6:$H$6)</f>
        <v>48.022076888950849</v>
      </c>
      <c r="O6" s="60" t="s">
        <v>200</v>
      </c>
    </row>
    <row r="7" spans="1:15" s="42" customFormat="1" ht="15.65" customHeight="1" x14ac:dyDescent="0.35">
      <c r="A7" s="153"/>
      <c r="B7" s="61"/>
      <c r="C7" s="61"/>
      <c r="D7" s="61"/>
      <c r="E7" s="61"/>
      <c r="F7" s="61"/>
      <c r="G7" s="61"/>
      <c r="H7" s="61"/>
      <c r="I7" s="61"/>
      <c r="J7" s="61"/>
      <c r="K7" s="61"/>
      <c r="L7" s="61"/>
      <c r="M7" s="61"/>
      <c r="N7" s="62"/>
      <c r="O7" s="60"/>
    </row>
    <row r="8" spans="1:15" s="42" customFormat="1" ht="15.65" customHeight="1" x14ac:dyDescent="0.35">
      <c r="A8" s="153" t="s">
        <v>201</v>
      </c>
      <c r="B8" s="198">
        <f>'Historical BS'!C13</f>
        <v>2136.5700000000002</v>
      </c>
      <c r="C8" s="198">
        <f>'Historical BS'!D13</f>
        <v>3378.72</v>
      </c>
      <c r="D8" s="198">
        <f>'Historical BS'!E13</f>
        <v>4164.3</v>
      </c>
      <c r="E8" s="198">
        <f>'Historical BS'!F13</f>
        <v>3635.44</v>
      </c>
      <c r="F8" s="198">
        <f>'Historical BS'!G13</f>
        <v>3831.34</v>
      </c>
      <c r="G8" s="198">
        <f>'Historical BS'!H13</f>
        <v>3848</v>
      </c>
      <c r="H8" s="198">
        <f>'Historical BS'!I13</f>
        <v>3863.04</v>
      </c>
      <c r="I8" s="59"/>
      <c r="J8" s="198">
        <f>-(J9/365)*'Forecast P&amp;L'!J18</f>
        <v>4283.5978204442763</v>
      </c>
      <c r="K8" s="198">
        <f>-(K9/365)*'Forecast P&amp;L'!K18</f>
        <v>4572.7406733242651</v>
      </c>
      <c r="L8" s="198">
        <f>-(L9/365)*'Forecast P&amp;L'!L18</f>
        <v>4869.9688170903419</v>
      </c>
      <c r="M8" s="198">
        <f>-(M9/365)*'Forecast P&amp;L'!M18</f>
        <v>5174.341868158489</v>
      </c>
      <c r="N8" s="199">
        <f>-(N9/365)*'Forecast P&amp;L'!N18</f>
        <v>5484.8023802479984</v>
      </c>
      <c r="O8" s="60"/>
    </row>
    <row r="9" spans="1:15" s="42" customFormat="1" ht="15.65" customHeight="1" x14ac:dyDescent="0.35">
      <c r="A9" s="153" t="s">
        <v>202</v>
      </c>
      <c r="B9" s="200">
        <f>-(B8/'Forecast P&amp;L'!B18)*365</f>
        <v>68.507119100870909</v>
      </c>
      <c r="C9" s="200">
        <f>-(C8/'Forecast P&amp;L'!C18)*365</f>
        <v>101.94340357255338</v>
      </c>
      <c r="D9" s="200">
        <f>-(D8/'Forecast P&amp;L'!D18)*365</f>
        <v>83.055038727920987</v>
      </c>
      <c r="E9" s="200">
        <f>-(E8/'Forecast P&amp;L'!E18)*365</f>
        <v>62.719996218656192</v>
      </c>
      <c r="F9" s="200">
        <f>-(F8/'Forecast P&amp;L'!F18)*365</f>
        <v>69.607988169362102</v>
      </c>
      <c r="G9" s="200">
        <f>-(G8/'Forecast P&amp;L'!G18)*365</f>
        <v>71.968427600639075</v>
      </c>
      <c r="H9" s="200">
        <f>-(H8/'Forecast P&amp;L'!H18)*365</f>
        <v>70.494206015664602</v>
      </c>
      <c r="I9" s="59"/>
      <c r="J9" s="200">
        <f>AVERAGE($F$9:$H$9)</f>
        <v>70.690207261888588</v>
      </c>
      <c r="K9" s="200">
        <f>AVERAGE($F$9:$H$9)</f>
        <v>70.690207261888588</v>
      </c>
      <c r="L9" s="200">
        <f>AVERAGE($F$9:$H$9)</f>
        <v>70.690207261888588</v>
      </c>
      <c r="M9" s="200">
        <f>AVERAGE($F$9:$H$9)</f>
        <v>70.690207261888588</v>
      </c>
      <c r="N9" s="201">
        <f>AVERAGE($F$9:$H$9)</f>
        <v>70.690207261888588</v>
      </c>
      <c r="O9" s="60" t="s">
        <v>203</v>
      </c>
    </row>
    <row r="10" spans="1:15" s="42" customFormat="1" ht="15.65" customHeight="1" x14ac:dyDescent="0.35">
      <c r="A10" s="153"/>
      <c r="B10" s="61"/>
      <c r="C10" s="61"/>
      <c r="D10" s="61"/>
      <c r="E10" s="61"/>
      <c r="F10" s="61"/>
      <c r="G10" s="61"/>
      <c r="H10" s="61"/>
      <c r="I10" s="61"/>
      <c r="J10" s="61"/>
      <c r="K10" s="61"/>
      <c r="L10" s="61"/>
      <c r="M10" s="61"/>
      <c r="N10" s="62"/>
      <c r="O10" s="60"/>
    </row>
    <row r="11" spans="1:15" s="42" customFormat="1" ht="15.65" customHeight="1" x14ac:dyDescent="0.35">
      <c r="A11" s="153" t="s">
        <v>80</v>
      </c>
      <c r="B11" s="198">
        <f>'Historical BS'!C8</f>
        <v>3389.81</v>
      </c>
      <c r="C11" s="198">
        <f>'Historical BS'!D8</f>
        <v>3798.6</v>
      </c>
      <c r="D11" s="198">
        <f>'Historical BS'!E8</f>
        <v>6152.98</v>
      </c>
      <c r="E11" s="198">
        <f>'Historical BS'!F8</f>
        <v>6210.64</v>
      </c>
      <c r="F11" s="198">
        <f>'Historical BS'!G8</f>
        <v>5923.41</v>
      </c>
      <c r="G11" s="198">
        <f>'Historical BS'!H8</f>
        <v>6719.27</v>
      </c>
      <c r="H11" s="198">
        <f>'Historical BS'!I8</f>
        <v>5743.69</v>
      </c>
      <c r="I11" s="59"/>
      <c r="J11" s="198">
        <f>-(J12/365)*'Forecast P&amp;L'!J18</f>
        <v>6455.1343140110803</v>
      </c>
      <c r="K11" s="198">
        <f>-(K12/365)*'Forecast P&amp;L'!K18</f>
        <v>6890.8558802068283</v>
      </c>
      <c r="L11" s="198">
        <f>-(L12/365)*'Forecast P&amp;L'!L18</f>
        <v>7338.7615124202712</v>
      </c>
      <c r="M11" s="198">
        <f>-(M12/365)*'Forecast P&amp;L'!M18</f>
        <v>7797.4341069465381</v>
      </c>
      <c r="N11" s="199">
        <f>-(N12/365)*'Forecast P&amp;L'!N18</f>
        <v>8265.2801533633319</v>
      </c>
      <c r="O11" s="60"/>
    </row>
    <row r="12" spans="1:15" s="42" customFormat="1" ht="15.65" customHeight="1" x14ac:dyDescent="0.35">
      <c r="A12" s="153" t="s">
        <v>204</v>
      </c>
      <c r="B12" s="200">
        <f>-(B11/'Forecast P&amp;L'!B18)*365</f>
        <v>108.69108777120488</v>
      </c>
      <c r="C12" s="200">
        <f>-(C11/'Forecast P&amp;L'!C18)*365</f>
        <v>114.61210541586793</v>
      </c>
      <c r="D12" s="200">
        <f>-(D11/'Forecast P&amp;L'!D18)*365</f>
        <v>122.71834214444762</v>
      </c>
      <c r="E12" s="200">
        <f>-(E11/'Forecast P&amp;L'!E18)*365</f>
        <v>107.14832793704061</v>
      </c>
      <c r="F12" s="200">
        <f>-(F11/'Forecast P&amp;L'!F18)*365</f>
        <v>107.6168268027064</v>
      </c>
      <c r="G12" s="200">
        <f>-(G11/'Forecast P&amp;L'!G18)*365</f>
        <v>125.66925585346833</v>
      </c>
      <c r="H12" s="200">
        <f>-(H11/'Forecast P&amp;L'!H18)*365</f>
        <v>104.81301414174139</v>
      </c>
      <c r="I12" s="59"/>
      <c r="J12" s="200">
        <f>AVERAGE(H12,F12,E12)</f>
        <v>106.52605629382947</v>
      </c>
      <c r="K12" s="200">
        <f>$J$12</f>
        <v>106.52605629382947</v>
      </c>
      <c r="L12" s="200">
        <f>$J$12</f>
        <v>106.52605629382947</v>
      </c>
      <c r="M12" s="200">
        <f>$J$12</f>
        <v>106.52605629382947</v>
      </c>
      <c r="N12" s="201">
        <f>$J$12</f>
        <v>106.52605629382947</v>
      </c>
      <c r="O12" s="63" t="s">
        <v>205</v>
      </c>
    </row>
    <row r="13" spans="1:15" s="42" customFormat="1" ht="15.65" customHeight="1" x14ac:dyDescent="0.35">
      <c r="A13" s="153" t="s">
        <v>206</v>
      </c>
      <c r="B13" s="198">
        <f>'Historical BS'!C9-'Historical BS'!C14</f>
        <v>-1282.8200000000002</v>
      </c>
      <c r="C13" s="198">
        <f>'Historical BS'!D9-'Historical BS'!D14</f>
        <v>-1379.8</v>
      </c>
      <c r="D13" s="198">
        <f>'Historical BS'!E9-'Historical BS'!E14</f>
        <v>-1791.35</v>
      </c>
      <c r="E13" s="198">
        <f>'Historical BS'!F9-'Historical BS'!F14</f>
        <v>-2415.29</v>
      </c>
      <c r="F13" s="198">
        <f>'Historical BS'!G9-'Historical BS'!G14</f>
        <v>-2436.5700000000002</v>
      </c>
      <c r="G13" s="198">
        <f>'Historical BS'!H9-'Historical BS'!H14</f>
        <v>-2486.06</v>
      </c>
      <c r="H13" s="198">
        <f>'Historical BS'!I9-'Historical BS'!I14</f>
        <v>-2922.6499999999996</v>
      </c>
      <c r="I13" s="59"/>
      <c r="J13" s="198">
        <f>'Forecast P&amp;L'!J11*AVERAGE($F$13/'Forecast P&amp;L'!$F$11,$G$13/'Forecast P&amp;L'!$G$11,$H$13/'Forecast P&amp;L'!$H$11)</f>
        <v>-2844.2049808892402</v>
      </c>
      <c r="K13" s="198">
        <f>'Forecast P&amp;L'!K11*AVERAGE($F$13/'Forecast P&amp;L'!$F$11,$G$13/'Forecast P&amp;L'!$G$11,$H$13/'Forecast P&amp;L'!$H$11)</f>
        <v>-3036.1888170992638</v>
      </c>
      <c r="L13" s="198">
        <f>'Forecast P&amp;L'!L11*AVERAGE($F$13/'Forecast P&amp;L'!$F$11,$G$13/'Forecast P&amp;L'!$G$11,$H$13/'Forecast P&amp;L'!$H$11)</f>
        <v>-3233.541090210716</v>
      </c>
      <c r="M13" s="198">
        <f>'Forecast P&amp;L'!M11*AVERAGE($F$13/'Forecast P&amp;L'!$F$11,$G$13/'Forecast P&amp;L'!$G$11,$H$13/'Forecast P&amp;L'!$H$11)</f>
        <v>-3435.6374083488859</v>
      </c>
      <c r="N13" s="199">
        <f>'Forecast P&amp;L'!N11*AVERAGE($F$13/'Forecast P&amp;L'!$F$11,$G$13/'Forecast P&amp;L'!$G$11,$H$13/'Forecast P&amp;L'!$H$11)</f>
        <v>-3641.7756528498194</v>
      </c>
      <c r="O13" s="60" t="s">
        <v>207</v>
      </c>
    </row>
    <row r="14" spans="1:15" s="42" customFormat="1" ht="15.65" customHeight="1" x14ac:dyDescent="0.35">
      <c r="A14" s="153" t="s">
        <v>208</v>
      </c>
      <c r="B14" s="202">
        <f t="shared" ref="B14:H14" si="0">B5+B11+B13-B8</f>
        <v>1765.6399999999994</v>
      </c>
      <c r="C14" s="202">
        <f t="shared" si="0"/>
        <v>1642.2500000000005</v>
      </c>
      <c r="D14" s="202">
        <f t="shared" si="0"/>
        <v>4068.7699999999995</v>
      </c>
      <c r="E14" s="202">
        <f t="shared" si="0"/>
        <v>4796.8500000000004</v>
      </c>
      <c r="F14" s="202">
        <f t="shared" si="0"/>
        <v>4544.5499999999993</v>
      </c>
      <c r="G14" s="202">
        <f t="shared" si="0"/>
        <v>4698.8600000000006</v>
      </c>
      <c r="H14" s="202">
        <f t="shared" si="0"/>
        <v>3419.8</v>
      </c>
      <c r="I14" s="64"/>
      <c r="J14" s="202">
        <f>J5+J11+J13-J8</f>
        <v>4336.6772070099796</v>
      </c>
      <c r="K14" s="202">
        <f>K5+K11+K13-K8</f>
        <v>4629.4029184831534</v>
      </c>
      <c r="L14" s="202">
        <f>L5+L11+L13-L8</f>
        <v>4930.3141081845597</v>
      </c>
      <c r="M14" s="202">
        <f>M5+M11+M13-M8</f>
        <v>5238.4587399460916</v>
      </c>
      <c r="N14" s="203">
        <f>N5+N11+N13-N8</f>
        <v>5552.7662643428612</v>
      </c>
      <c r="O14" s="60" t="s">
        <v>209</v>
      </c>
    </row>
    <row r="15" spans="1:15" s="42" customFormat="1" ht="15.65" customHeight="1" x14ac:dyDescent="0.35">
      <c r="A15" s="154" t="s">
        <v>210</v>
      </c>
      <c r="B15" s="119"/>
      <c r="C15" s="204">
        <f t="shared" ref="C15:H15" si="1">C14-B14</f>
        <v>-123.38999999999896</v>
      </c>
      <c r="D15" s="204">
        <f t="shared" si="1"/>
        <v>2426.5199999999991</v>
      </c>
      <c r="E15" s="204">
        <f t="shared" si="1"/>
        <v>728.08000000000084</v>
      </c>
      <c r="F15" s="204">
        <f t="shared" si="1"/>
        <v>-252.30000000000109</v>
      </c>
      <c r="G15" s="204">
        <f t="shared" si="1"/>
        <v>154.31000000000131</v>
      </c>
      <c r="H15" s="204">
        <f t="shared" si="1"/>
        <v>-1279.0600000000004</v>
      </c>
      <c r="I15" s="116"/>
      <c r="J15" s="204">
        <f>J14-H14</f>
        <v>916.87720700997943</v>
      </c>
      <c r="K15" s="204">
        <f>K14-J14</f>
        <v>292.72571147317376</v>
      </c>
      <c r="L15" s="204">
        <f>L14-K14</f>
        <v>300.91118970140633</v>
      </c>
      <c r="M15" s="204">
        <f>M14-L14</f>
        <v>308.14463176153185</v>
      </c>
      <c r="N15" s="204">
        <f>N14-M14</f>
        <v>314.30752439676962</v>
      </c>
      <c r="O15" s="65"/>
    </row>
    <row r="16" spans="1:15" ht="18" customHeight="1" x14ac:dyDescent="0.4">
      <c r="A16" s="16"/>
    </row>
    <row r="17" spans="10:15" x14ac:dyDescent="0.35">
      <c r="J17" s="14"/>
      <c r="K17" s="14"/>
      <c r="L17" s="14"/>
      <c r="M17" s="14"/>
      <c r="N17" s="14"/>
    </row>
    <row r="18" spans="10:15" x14ac:dyDescent="0.35">
      <c r="J18" s="15"/>
      <c r="K18" s="15"/>
      <c r="L18" s="15"/>
      <c r="M18" s="15"/>
      <c r="N18" s="15"/>
      <c r="O18" s="17"/>
    </row>
    <row r="19" spans="10:15" x14ac:dyDescent="0.35">
      <c r="J19" s="15"/>
      <c r="K19" s="15"/>
      <c r="L19" s="15"/>
      <c r="M19" s="15"/>
      <c r="N19" s="15"/>
    </row>
  </sheetData>
  <sheetProtection algorithmName="SHA-512" hashValue="5/Wo0RQGNLTBdaoQo3CJZ7hkHcYAZ2uVnhctbofgt4tnvy6xodqB481WjqoPqCDVg3kwyRFqMnf/JAwxcJ/lxA==" saltValue="wFy4j0GmcriF7F0+D5E9bQ==" spinCount="100000" sheet="1" objects="1" scenarios="1"/>
  <mergeCells count="2">
    <mergeCell ref="A2:N2"/>
    <mergeCell ref="A1:N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0"/>
  <sheetViews>
    <sheetView showGridLines="0" workbookViewId="0">
      <selection activeCell="E11" sqref="E11"/>
    </sheetView>
  </sheetViews>
  <sheetFormatPr defaultColWidth="9.1796875" defaultRowHeight="17.5" x14ac:dyDescent="0.35"/>
  <cols>
    <col min="1" max="1" width="44.54296875" style="3" bestFit="1" customWidth="1"/>
    <col min="2" max="2" width="14" style="3" bestFit="1" customWidth="1"/>
    <col min="3" max="4" width="14" style="3" customWidth="1"/>
    <col min="5" max="5" width="14.81640625" style="3" bestFit="1" customWidth="1"/>
    <col min="6" max="8" width="14.81640625" style="3" customWidth="1"/>
    <col min="9" max="9" width="2.1796875" style="3" customWidth="1"/>
    <col min="10" max="10" width="14.81640625" style="3" bestFit="1" customWidth="1"/>
    <col min="11" max="13" width="14.81640625" style="3" customWidth="1"/>
    <col min="14" max="14" width="15.54296875" style="3" bestFit="1" customWidth="1"/>
    <col min="15" max="15" width="153.54296875" style="3" customWidth="1"/>
    <col min="16" max="16" width="15.7265625" style="3" customWidth="1"/>
    <col min="17" max="19" width="9.1796875" style="3" customWidth="1"/>
    <col min="20" max="16384" width="9.1796875" style="3"/>
  </cols>
  <sheetData>
    <row r="1" spans="1:19" s="126" customFormat="1" ht="24" customHeight="1" x14ac:dyDescent="0.35">
      <c r="A1" s="250" t="s">
        <v>211</v>
      </c>
      <c r="B1" s="250"/>
      <c r="C1" s="250"/>
      <c r="D1" s="250"/>
      <c r="E1" s="250"/>
      <c r="F1" s="250"/>
      <c r="G1" s="250"/>
      <c r="H1" s="250"/>
      <c r="I1" s="250"/>
      <c r="J1" s="250"/>
      <c r="K1" s="250"/>
      <c r="L1" s="250"/>
      <c r="M1" s="250"/>
      <c r="N1" s="250"/>
    </row>
    <row r="2" spans="1:19" s="31" customFormat="1" ht="18" customHeight="1" x14ac:dyDescent="0.35">
      <c r="A2" s="257" t="s">
        <v>46</v>
      </c>
      <c r="B2" s="257"/>
      <c r="C2" s="257"/>
      <c r="D2" s="257"/>
      <c r="E2" s="257"/>
      <c r="F2" s="257"/>
      <c r="G2" s="257"/>
      <c r="H2" s="257"/>
      <c r="I2" s="257"/>
      <c r="J2" s="257"/>
      <c r="K2" s="257"/>
      <c r="L2" s="257"/>
      <c r="M2" s="257"/>
      <c r="N2" s="257"/>
    </row>
    <row r="4" spans="1:19" ht="18" customHeight="1" x14ac:dyDescent="0.35">
      <c r="A4" s="106" t="s">
        <v>161</v>
      </c>
      <c r="B4" s="105" t="s">
        <v>15</v>
      </c>
      <c r="C4" s="105" t="s">
        <v>20</v>
      </c>
      <c r="D4" s="105" t="s">
        <v>23</v>
      </c>
      <c r="E4" s="105" t="s">
        <v>28</v>
      </c>
      <c r="F4" s="105" t="s">
        <v>33</v>
      </c>
      <c r="G4" s="105" t="s">
        <v>38</v>
      </c>
      <c r="H4" s="105" t="s">
        <v>42</v>
      </c>
      <c r="I4" s="105"/>
      <c r="J4" s="105" t="s">
        <v>162</v>
      </c>
      <c r="K4" s="105" t="s">
        <v>163</v>
      </c>
      <c r="L4" s="105" t="s">
        <v>164</v>
      </c>
      <c r="M4" s="105" t="s">
        <v>165</v>
      </c>
      <c r="N4" s="104" t="s">
        <v>166</v>
      </c>
      <c r="O4" s="107" t="s">
        <v>167</v>
      </c>
    </row>
    <row r="5" spans="1:19" x14ac:dyDescent="0.35">
      <c r="A5" s="156" t="s">
        <v>196</v>
      </c>
      <c r="B5" s="205">
        <f>'Forecast P&amp;L'!B88</f>
        <v>2585.8691707462031</v>
      </c>
      <c r="C5" s="205">
        <f>'Forecast P&amp;L'!C88</f>
        <v>3027.9345841997065</v>
      </c>
      <c r="D5" s="205">
        <f>'Forecast P&amp;L'!D88</f>
        <v>2937.1373139799211</v>
      </c>
      <c r="E5" s="205">
        <f>'Forecast P&amp;L'!E88</f>
        <v>3983.6693134792213</v>
      </c>
      <c r="F5" s="205">
        <f>'Forecast P&amp;L'!F88</f>
        <v>5091.9201235476849</v>
      </c>
      <c r="G5" s="205">
        <f>'Forecast P&amp;L'!G88</f>
        <v>3620.1489569416103</v>
      </c>
      <c r="H5" s="205">
        <f>'Forecast P&amp;L'!H88</f>
        <v>4002.0518000179914</v>
      </c>
      <c r="I5" s="75"/>
      <c r="J5" s="205">
        <f>'Forecast P&amp;L'!J88</f>
        <v>4471.1914192461882</v>
      </c>
      <c r="K5" s="205">
        <f>'Forecast P&amp;L'!K88</f>
        <v>4773.1550948136173</v>
      </c>
      <c r="L5" s="205">
        <f>'Forecast P&amp;L'!L88</f>
        <v>5081.1256199334985</v>
      </c>
      <c r="M5" s="205">
        <f>'Forecast P&amp;L'!M88</f>
        <v>5394.1223505401613</v>
      </c>
      <c r="N5" s="206">
        <f>'Forecast P&amp;L'!N88</f>
        <v>5711.030942620213</v>
      </c>
      <c r="O5" s="9"/>
      <c r="Q5" s="10"/>
      <c r="R5" s="10"/>
      <c r="S5" s="10"/>
    </row>
    <row r="6" spans="1:19" x14ac:dyDescent="0.35">
      <c r="A6" s="156" t="s">
        <v>212</v>
      </c>
      <c r="B6" s="207">
        <f>-'Forecast P&amp;L'!B59</f>
        <v>780.5</v>
      </c>
      <c r="C6" s="208">
        <f>-'Forecast P&amp;L'!C59</f>
        <v>791.27</v>
      </c>
      <c r="D6" s="208">
        <f>-'Forecast P&amp;L'!D59</f>
        <v>816.36</v>
      </c>
      <c r="E6" s="208">
        <f>-'Forecast P&amp;L'!E59</f>
        <v>858.02</v>
      </c>
      <c r="F6" s="208">
        <f>-'Forecast P&amp;L'!F59</f>
        <v>853</v>
      </c>
      <c r="G6" s="208">
        <f>-'Forecast P&amp;L'!G59</f>
        <v>1026.3399999999999</v>
      </c>
      <c r="H6" s="208">
        <f>-'Forecast P&amp;L'!H59</f>
        <v>1228.8499999999999</v>
      </c>
      <c r="I6" s="76"/>
      <c r="J6" s="208">
        <f>-'Forecast P&amp;L'!J59</f>
        <v>1350.9871274971035</v>
      </c>
      <c r="K6" s="208">
        <f>-'Forecast P&amp;L'!K59</f>
        <v>1441.9656917107211</v>
      </c>
      <c r="L6" s="208">
        <f>-'Forecast P&amp;L'!L59</f>
        <v>1538.7692821471712</v>
      </c>
      <c r="M6" s="208">
        <f>-'Forecast P&amp;L'!M59</f>
        <v>1641.1000733391093</v>
      </c>
      <c r="N6" s="209">
        <f>-'Forecast P&amp;L'!N59</f>
        <v>1748.6388173068381</v>
      </c>
      <c r="O6" s="9"/>
    </row>
    <row r="7" spans="1:19" x14ac:dyDescent="0.35">
      <c r="A7" s="156" t="s">
        <v>213</v>
      </c>
      <c r="B7" s="205">
        <f t="shared" ref="B7:H7" si="0">SUM(B5:B6)</f>
        <v>3366.3691707462031</v>
      </c>
      <c r="C7" s="205">
        <f t="shared" si="0"/>
        <v>3819.2045841997065</v>
      </c>
      <c r="D7" s="205">
        <f t="shared" si="0"/>
        <v>3753.4973139799213</v>
      </c>
      <c r="E7" s="205">
        <f t="shared" si="0"/>
        <v>4841.6893134792208</v>
      </c>
      <c r="F7" s="205">
        <f t="shared" si="0"/>
        <v>5944.9201235476849</v>
      </c>
      <c r="G7" s="205">
        <f t="shared" si="0"/>
        <v>4646.48895694161</v>
      </c>
      <c r="H7" s="205">
        <f t="shared" si="0"/>
        <v>5230.9018000179913</v>
      </c>
      <c r="I7" s="75"/>
      <c r="J7" s="205">
        <f>SUM(J5:J6)</f>
        <v>5822.1785467432919</v>
      </c>
      <c r="K7" s="205">
        <f>SUM(K5:K6)</f>
        <v>6215.1207865243387</v>
      </c>
      <c r="L7" s="205">
        <f>SUM(L5:L6)</f>
        <v>6619.8949020806695</v>
      </c>
      <c r="M7" s="205">
        <f>SUM(M5:M6)</f>
        <v>7035.2224238792705</v>
      </c>
      <c r="N7" s="210">
        <f>SUM(N5:N6)</f>
        <v>7459.669759927051</v>
      </c>
      <c r="O7" s="11"/>
    </row>
    <row r="8" spans="1:19" x14ac:dyDescent="0.35">
      <c r="A8" s="156" t="s">
        <v>214</v>
      </c>
      <c r="B8" s="205">
        <f>'Forecast P&amp;L'!B39</f>
        <v>-403.54</v>
      </c>
      <c r="C8" s="205">
        <f>'Forecast P&amp;L'!C39</f>
        <v>-281.87</v>
      </c>
      <c r="D8" s="205">
        <f>'Forecast P&amp;L'!D39</f>
        <v>-538.24</v>
      </c>
      <c r="E8" s="205">
        <f>'Forecast P&amp;L'!E39</f>
        <v>-1273.3699999999999</v>
      </c>
      <c r="F8" s="205">
        <f>'Forecast P&amp;L'!F39</f>
        <v>-2199.0100000000002</v>
      </c>
      <c r="G8" s="205">
        <f>'Forecast P&amp;L'!G39</f>
        <v>-1805.32</v>
      </c>
      <c r="H8" s="205">
        <f>'Forecast P&amp;L'!H39</f>
        <v>-1467.02</v>
      </c>
      <c r="I8" s="75"/>
      <c r="J8" s="205">
        <f>'Forecast P&amp;L'!J39</f>
        <v>-1985.2757402173395</v>
      </c>
      <c r="K8" s="205">
        <f>'Forecast P&amp;L'!K39</f>
        <v>-2119.2818526820101</v>
      </c>
      <c r="L8" s="205">
        <f>'Forecast P&amp;L'!L39</f>
        <v>-2257.0351731063406</v>
      </c>
      <c r="M8" s="205">
        <f>'Forecast P&amp;L'!M39</f>
        <v>-2398.099871425487</v>
      </c>
      <c r="N8" s="205">
        <f>'Forecast P&amp;L'!N39</f>
        <v>-2541.9858637110165</v>
      </c>
      <c r="O8" s="128"/>
    </row>
    <row r="9" spans="1:19" ht="45.75" customHeight="1" x14ac:dyDescent="0.35">
      <c r="A9" s="153" t="s">
        <v>215</v>
      </c>
      <c r="B9" s="184">
        <f>'Historical Cash Flow'!C8</f>
        <v>-10.15</v>
      </c>
      <c r="C9" s="184">
        <f>'Historical Cash Flow'!D8</f>
        <v>-6.84</v>
      </c>
      <c r="D9" s="184">
        <f>'Historical Cash Flow'!E8</f>
        <v>-12.46</v>
      </c>
      <c r="E9" s="184">
        <f>'Historical Cash Flow'!F8</f>
        <v>-172.24</v>
      </c>
      <c r="F9" s="184">
        <f>'Historical Cash Flow'!G8</f>
        <v>-297.07</v>
      </c>
      <c r="G9" s="184">
        <f>'Historical Cash Flow'!H8</f>
        <v>-24.75</v>
      </c>
      <c r="H9" s="184">
        <f>'Historical Cash Flow'!I8</f>
        <v>-20.3</v>
      </c>
      <c r="I9" s="73"/>
      <c r="J9" s="184">
        <f>AVERAGE($F$9/'Forecast P&amp;L'!$F$11,$G$9/'Forecast P&amp;L'!$G$11,$H$9/'Forecast P&amp;L'!$H$11)*'Forecast P&amp;L'!J11</f>
        <v>-122.72476082629862</v>
      </c>
      <c r="K9" s="184">
        <f>AVERAGE($F$9/'Forecast P&amp;L'!$F$11,$G$9/'Forecast P&amp;L'!$G$11,$H$9/'Forecast P&amp;L'!$H$11)*'Forecast P&amp;L'!K11</f>
        <v>-131.00868218207378</v>
      </c>
      <c r="L9" s="184">
        <f>AVERAGE($F$9/'Forecast P&amp;L'!$F$11,$G$9/'Forecast P&amp;L'!$G$11,$H$9/'Forecast P&amp;L'!$H$11)*'Forecast P&amp;L'!L11</f>
        <v>-139.52424652390857</v>
      </c>
      <c r="M9" s="184">
        <f>AVERAGE($F$9/'Forecast P&amp;L'!$F$11,$G$9/'Forecast P&amp;L'!$G$11,$H$9/'Forecast P&amp;L'!$H$11)*'Forecast P&amp;L'!M11</f>
        <v>-148.24451193165285</v>
      </c>
      <c r="N9" s="205">
        <f>AVERAGE($F$9/'Forecast P&amp;L'!$F$11,$G$9/'Forecast P&amp;L'!$G$11,$H$9/'Forecast P&amp;L'!$H$11)*'Forecast P&amp;L'!N11</f>
        <v>-157.13918264755205</v>
      </c>
      <c r="O9" s="129" t="s">
        <v>216</v>
      </c>
    </row>
    <row r="10" spans="1:19" ht="18" customHeight="1" x14ac:dyDescent="0.35">
      <c r="A10" s="156" t="s">
        <v>217</v>
      </c>
      <c r="B10" s="75"/>
      <c r="C10" s="211">
        <f>'Forecast BS'!C15</f>
        <v>-123.38999999999896</v>
      </c>
      <c r="D10" s="211">
        <f>'Forecast BS'!D15</f>
        <v>2426.5199999999991</v>
      </c>
      <c r="E10" s="211">
        <f>'Forecast BS'!E15</f>
        <v>728.08000000000084</v>
      </c>
      <c r="F10" s="211">
        <f>'Forecast BS'!F15</f>
        <v>-252.30000000000109</v>
      </c>
      <c r="G10" s="211">
        <f>'Forecast BS'!G15</f>
        <v>154.31000000000131</v>
      </c>
      <c r="H10" s="211">
        <f>'Forecast BS'!H15</f>
        <v>-1279.0600000000004</v>
      </c>
      <c r="I10" s="77"/>
      <c r="J10" s="211">
        <f>'Forecast BS'!J15</f>
        <v>916.87720700997943</v>
      </c>
      <c r="K10" s="211">
        <f>'Forecast BS'!K15</f>
        <v>292.72571147317376</v>
      </c>
      <c r="L10" s="211">
        <f>'Forecast BS'!L15</f>
        <v>300.91118970140633</v>
      </c>
      <c r="M10" s="211">
        <f>'Forecast BS'!M15</f>
        <v>308.14463176153185</v>
      </c>
      <c r="N10" s="199">
        <f>'Forecast BS'!N15</f>
        <v>314.30752439676962</v>
      </c>
      <c r="O10" s="11"/>
    </row>
    <row r="11" spans="1:19" ht="18" customHeight="1" thickBot="1" x14ac:dyDescent="0.4">
      <c r="A11" s="157" t="s">
        <v>218</v>
      </c>
      <c r="B11" s="212">
        <f t="shared" ref="B11:H11" si="1">SUM(B7:B9)-B10</f>
        <v>2952.679170746203</v>
      </c>
      <c r="C11" s="213">
        <f t="shared" si="1"/>
        <v>3653.8845841997054</v>
      </c>
      <c r="D11" s="213">
        <f t="shared" si="1"/>
        <v>776.27731397992238</v>
      </c>
      <c r="E11" s="213">
        <f t="shared" si="1"/>
        <v>2667.9993134792203</v>
      </c>
      <c r="F11" s="213">
        <f t="shared" si="1"/>
        <v>3701.1401235476856</v>
      </c>
      <c r="G11" s="213">
        <f t="shared" si="1"/>
        <v>2662.108956941609</v>
      </c>
      <c r="H11" s="213">
        <f t="shared" si="1"/>
        <v>5022.641800017991</v>
      </c>
      <c r="I11" s="118"/>
      <c r="J11" s="213">
        <f>SUM(J7:J9)-J10</f>
        <v>2797.3008386896745</v>
      </c>
      <c r="K11" s="213">
        <f>SUM(K7:K9)-K10</f>
        <v>3672.1045401870811</v>
      </c>
      <c r="L11" s="213">
        <f>SUM(L7:L9)-L10</f>
        <v>3922.4242927490131</v>
      </c>
      <c r="M11" s="213">
        <f>SUM(M7:M9)-M10</f>
        <v>4180.7334087605996</v>
      </c>
      <c r="N11" s="214">
        <f>SUM(N7:N9)-N10</f>
        <v>4446.237189171713</v>
      </c>
      <c r="O11" s="12"/>
    </row>
    <row r="12" spans="1:19" ht="18.75" customHeight="1" thickTop="1" x14ac:dyDescent="0.35"/>
    <row r="15" spans="1:19" x14ac:dyDescent="0.35">
      <c r="B15" s="130"/>
      <c r="C15" s="130"/>
      <c r="D15" s="130"/>
      <c r="E15" s="130"/>
      <c r="F15" s="130"/>
      <c r="G15" s="130"/>
      <c r="H15" s="130"/>
      <c r="I15" s="130"/>
      <c r="J15" s="130"/>
      <c r="K15" s="130"/>
      <c r="L15" s="130"/>
      <c r="M15" s="130"/>
      <c r="N15" s="130"/>
    </row>
    <row r="20" spans="7:7" x14ac:dyDescent="0.35">
      <c r="G20" s="131"/>
    </row>
  </sheetData>
  <sheetProtection algorithmName="SHA-512" hashValue="5wfDU6673IYfbKPlX50L6u1NjflKns82nkGAvpf2olr7t+d+F/YwZ+g2+QMqAr2T88PH6NKRSfh4ZKUuR+xpAQ==" saltValue="CACa96H8N0GO5xKEvwlOGg==" spinCount="100000" sheet="1" objects="1" scenarios="1"/>
  <mergeCells count="2">
    <mergeCell ref="A2:N2"/>
    <mergeCell ref="A1:N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92"/>
  <sheetViews>
    <sheetView showGridLines="0" topLeftCell="A22" workbookViewId="0">
      <selection activeCell="B25" sqref="B25"/>
    </sheetView>
  </sheetViews>
  <sheetFormatPr defaultColWidth="9.1796875" defaultRowHeight="17.5" x14ac:dyDescent="0.35"/>
  <cols>
    <col min="1" max="1" width="39.54296875" style="3" customWidth="1"/>
    <col min="2" max="2" width="18.81640625" style="3" customWidth="1"/>
    <col min="3" max="3" width="15.7265625" style="3" customWidth="1"/>
    <col min="4" max="4" width="9.1796875" style="3" customWidth="1"/>
    <col min="5" max="5" width="12.7265625" style="3" bestFit="1" customWidth="1"/>
    <col min="6" max="6" width="10.1796875" style="3" bestFit="1" customWidth="1"/>
    <col min="7" max="7" width="22.81640625" style="3" customWidth="1"/>
    <col min="8" max="8" width="11.453125" style="3" bestFit="1" customWidth="1"/>
    <col min="9" max="9" width="22.81640625" style="3" customWidth="1"/>
    <col min="10" max="10" width="11.453125" style="3" bestFit="1" customWidth="1"/>
    <col min="11" max="11" width="22.81640625" style="3" customWidth="1"/>
    <col min="12" max="12" width="11.453125" style="3" bestFit="1" customWidth="1"/>
    <col min="13" max="13" width="22.81640625" style="3" customWidth="1"/>
    <col min="14" max="14" width="9.1796875" style="3" customWidth="1"/>
    <col min="15" max="15" width="8.81640625" style="3" bestFit="1" customWidth="1"/>
    <col min="16" max="16" width="11.7265625" style="3" bestFit="1" customWidth="1"/>
    <col min="17" max="17" width="5.7265625" style="3" bestFit="1" customWidth="1"/>
    <col min="18" max="20" width="9.1796875" style="3" customWidth="1"/>
    <col min="21" max="16384" width="9.1796875" style="3"/>
  </cols>
  <sheetData>
    <row r="1" spans="1:17" s="126" customFormat="1" ht="24" customHeight="1" x14ac:dyDescent="0.35">
      <c r="A1" s="250" t="s">
        <v>219</v>
      </c>
      <c r="B1" s="250"/>
      <c r="C1" s="250"/>
      <c r="D1" s="250"/>
      <c r="E1" s="250"/>
      <c r="F1" s="250"/>
      <c r="G1" s="250"/>
      <c r="H1" s="250"/>
      <c r="I1" s="250"/>
      <c r="J1" s="250"/>
      <c r="K1" s="250"/>
      <c r="L1" s="250"/>
      <c r="M1" s="250"/>
      <c r="N1" s="250"/>
    </row>
    <row r="2" spans="1:17" s="31" customFormat="1" ht="18" customHeight="1" x14ac:dyDescent="0.35">
      <c r="A2" s="257" t="s">
        <v>46</v>
      </c>
      <c r="B2" s="257"/>
      <c r="C2" s="257"/>
      <c r="D2" s="257"/>
      <c r="E2" s="257"/>
      <c r="F2" s="257"/>
      <c r="G2" s="257"/>
      <c r="H2" s="257"/>
      <c r="I2" s="257"/>
      <c r="J2" s="257"/>
      <c r="K2" s="257"/>
      <c r="L2" s="257"/>
      <c r="M2" s="257"/>
      <c r="N2" s="257"/>
    </row>
    <row r="3" spans="1:17" ht="14.5" customHeight="1" x14ac:dyDescent="0.35"/>
    <row r="4" spans="1:17" ht="21" customHeight="1" x14ac:dyDescent="0.4">
      <c r="A4" s="267" t="s">
        <v>220</v>
      </c>
      <c r="B4" s="263"/>
      <c r="C4" s="264"/>
      <c r="E4" s="267" t="s">
        <v>221</v>
      </c>
      <c r="F4" s="263"/>
      <c r="G4" s="263"/>
      <c r="H4" s="263"/>
      <c r="I4" s="263"/>
      <c r="J4" s="263"/>
      <c r="K4" s="263"/>
      <c r="L4" s="263"/>
      <c r="M4" s="264"/>
      <c r="O4" s="268" t="s">
        <v>222</v>
      </c>
      <c r="P4" s="110" t="s">
        <v>223</v>
      </c>
      <c r="Q4" s="242">
        <f>SLOPE(G8:G91,I8:I91)</f>
        <v>0.68460934552701602</v>
      </c>
    </row>
    <row r="5" spans="1:17" ht="21" customHeight="1" x14ac:dyDescent="0.4">
      <c r="A5" s="109" t="s">
        <v>224</v>
      </c>
      <c r="B5" s="109" t="s">
        <v>225</v>
      </c>
      <c r="C5" s="110" t="s">
        <v>167</v>
      </c>
      <c r="E5" s="268" t="s">
        <v>226</v>
      </c>
      <c r="F5" s="266" t="s">
        <v>227</v>
      </c>
      <c r="G5" s="264"/>
      <c r="H5" s="266" t="s">
        <v>223</v>
      </c>
      <c r="I5" s="264"/>
      <c r="J5" s="266" t="s">
        <v>228</v>
      </c>
      <c r="K5" s="264"/>
      <c r="L5" s="266" t="s">
        <v>229</v>
      </c>
      <c r="M5" s="264"/>
      <c r="O5" s="255"/>
      <c r="P5" s="110" t="s">
        <v>228</v>
      </c>
      <c r="Q5" s="242">
        <f>SLOPE(G8:G91,K8:K91)</f>
        <v>0.68026567501379376</v>
      </c>
    </row>
    <row r="6" spans="1:17" ht="18" customHeight="1" x14ac:dyDescent="0.4">
      <c r="A6" s="40" t="s">
        <v>230</v>
      </c>
      <c r="B6" s="215">
        <f>IF(B25=1,B31/(B31+B33),IF(B25=2,B32/(B32+B33),"Invalid Input"))</f>
        <v>0.98142761986666505</v>
      </c>
      <c r="C6" s="37"/>
      <c r="E6" s="256"/>
      <c r="F6" s="111" t="s">
        <v>231</v>
      </c>
      <c r="G6" s="111" t="s">
        <v>169</v>
      </c>
      <c r="H6" s="111" t="s">
        <v>231</v>
      </c>
      <c r="I6" s="111" t="s">
        <v>169</v>
      </c>
      <c r="J6" s="111" t="s">
        <v>231</v>
      </c>
      <c r="K6" s="111" t="s">
        <v>169</v>
      </c>
      <c r="L6" s="111" t="s">
        <v>231</v>
      </c>
      <c r="M6" s="111" t="s">
        <v>169</v>
      </c>
      <c r="O6" s="256"/>
      <c r="P6" s="110" t="s">
        <v>229</v>
      </c>
      <c r="Q6" s="242">
        <f>SLOPE(G8:G91,M8:M91)</f>
        <v>0.73433288695996002</v>
      </c>
    </row>
    <row r="7" spans="1:17" ht="18" customHeight="1" x14ac:dyDescent="0.35">
      <c r="A7" s="40" t="s">
        <v>232</v>
      </c>
      <c r="B7" s="215">
        <f>IF(B25=1,B33/(B31+B33),IF(B25=2,B33/(B33+B32),"Invalid Input"))</f>
        <v>1.8572380133334954E-2</v>
      </c>
      <c r="C7" s="37"/>
      <c r="E7" s="247">
        <v>43556</v>
      </c>
      <c r="F7" s="80">
        <v>1463.15</v>
      </c>
      <c r="G7" s="81"/>
      <c r="H7" s="80">
        <v>15293.75</v>
      </c>
      <c r="I7" s="82"/>
      <c r="J7" s="80">
        <v>9664.2999999999993</v>
      </c>
      <c r="K7" s="82"/>
      <c r="L7" s="80">
        <v>11748.15</v>
      </c>
      <c r="M7" s="83"/>
      <c r="O7" s="8"/>
    </row>
    <row r="8" spans="1:17" x14ac:dyDescent="0.35">
      <c r="A8" s="269" t="s">
        <v>233</v>
      </c>
      <c r="B8" s="270"/>
      <c r="C8" s="271"/>
      <c r="E8" s="247">
        <v>43586</v>
      </c>
      <c r="F8" s="80">
        <v>1407.3</v>
      </c>
      <c r="G8" s="216">
        <f t="shared" ref="G8:G39" si="0">F8/F7-1</f>
        <v>-3.8171069268359448E-2</v>
      </c>
      <c r="H8" s="80">
        <v>15517.9</v>
      </c>
      <c r="I8" s="216">
        <f t="shared" ref="I8:I39" si="1">H8/H7-1</f>
        <v>1.4656313853698366E-2</v>
      </c>
      <c r="J8" s="80">
        <v>9805.0499999999993</v>
      </c>
      <c r="K8" s="216">
        <f t="shared" ref="K8:K39" si="2">J8/J7-1</f>
        <v>1.4563910474633346E-2</v>
      </c>
      <c r="L8" s="80">
        <v>11922.8</v>
      </c>
      <c r="M8" s="216">
        <f t="shared" ref="M8:M39" si="3">L8/L7-1</f>
        <v>1.4866170418321056E-2</v>
      </c>
      <c r="N8" s="5"/>
    </row>
    <row r="9" spans="1:17" x14ac:dyDescent="0.35">
      <c r="A9" s="272"/>
      <c r="B9" s="261"/>
      <c r="C9" s="273"/>
      <c r="E9" s="247">
        <v>43617</v>
      </c>
      <c r="F9" s="80">
        <v>1358.15</v>
      </c>
      <c r="G9" s="216">
        <f t="shared" si="0"/>
        <v>-3.4925033752575718E-2</v>
      </c>
      <c r="H9" s="80">
        <v>15291.7</v>
      </c>
      <c r="I9" s="216">
        <f t="shared" si="1"/>
        <v>-1.4576714632778875E-2</v>
      </c>
      <c r="J9" s="80">
        <v>9657.9500000000007</v>
      </c>
      <c r="K9" s="216">
        <f t="shared" si="2"/>
        <v>-1.5002473215332768E-2</v>
      </c>
      <c r="L9" s="80">
        <v>11788.85</v>
      </c>
      <c r="M9" s="216">
        <f t="shared" si="3"/>
        <v>-1.1234777065789792E-2</v>
      </c>
      <c r="N9" s="5"/>
    </row>
    <row r="10" spans="1:17" x14ac:dyDescent="0.35">
      <c r="A10" s="40" t="s">
        <v>234</v>
      </c>
      <c r="B10" s="217">
        <v>7.1059999999999998E-2</v>
      </c>
      <c r="C10" s="37" t="s">
        <v>235</v>
      </c>
      <c r="D10" s="24" t="s">
        <v>180</v>
      </c>
      <c r="E10" s="247">
        <v>43647</v>
      </c>
      <c r="F10" s="80">
        <v>1521.1</v>
      </c>
      <c r="G10" s="216">
        <f t="shared" si="0"/>
        <v>0.1199793837205021</v>
      </c>
      <c r="H10" s="80">
        <v>14324.12</v>
      </c>
      <c r="I10" s="216">
        <f t="shared" si="1"/>
        <v>-6.3274848447196885E-2</v>
      </c>
      <c r="J10" s="80">
        <v>9044.9500000000007</v>
      </c>
      <c r="K10" s="216">
        <f t="shared" si="2"/>
        <v>-6.3471026460066526E-2</v>
      </c>
      <c r="L10" s="80">
        <v>11118</v>
      </c>
      <c r="M10" s="216">
        <f t="shared" si="3"/>
        <v>-5.6905465757898344E-2</v>
      </c>
      <c r="N10" s="5"/>
    </row>
    <row r="11" spans="1:17" x14ac:dyDescent="0.35">
      <c r="A11" s="40" t="s">
        <v>236</v>
      </c>
      <c r="B11" s="78">
        <v>0.7</v>
      </c>
      <c r="C11" s="37" t="s">
        <v>237</v>
      </c>
      <c r="D11" s="24" t="s">
        <v>180</v>
      </c>
      <c r="E11" s="247">
        <v>43678</v>
      </c>
      <c r="F11" s="80">
        <v>1616.2</v>
      </c>
      <c r="G11" s="216">
        <f t="shared" si="0"/>
        <v>6.2520544342909767E-2</v>
      </c>
      <c r="H11" s="80">
        <v>14234.07</v>
      </c>
      <c r="I11" s="216">
        <f t="shared" si="1"/>
        <v>-6.2865991069609439E-3</v>
      </c>
      <c r="J11" s="80">
        <v>8977.5499999999993</v>
      </c>
      <c r="K11" s="216">
        <f t="shared" si="2"/>
        <v>-7.4516719274292376E-3</v>
      </c>
      <c r="L11" s="80">
        <v>11023.25</v>
      </c>
      <c r="M11" s="216">
        <f t="shared" si="3"/>
        <v>-8.5222162259399603E-3</v>
      </c>
      <c r="N11" s="5"/>
    </row>
    <row r="12" spans="1:17" x14ac:dyDescent="0.35">
      <c r="A12" s="40" t="s">
        <v>238</v>
      </c>
      <c r="B12" s="217">
        <v>6.9000000000000006E-2</v>
      </c>
      <c r="C12" s="37" t="s">
        <v>239</v>
      </c>
      <c r="D12" s="24" t="s">
        <v>180</v>
      </c>
      <c r="E12" s="247">
        <v>43709</v>
      </c>
      <c r="F12" s="80">
        <v>1762.15</v>
      </c>
      <c r="G12" s="216">
        <f t="shared" si="0"/>
        <v>9.0304417770078027E-2</v>
      </c>
      <c r="H12" s="80">
        <v>14810.02</v>
      </c>
      <c r="I12" s="216">
        <f t="shared" si="1"/>
        <v>4.0462776985078719E-2</v>
      </c>
      <c r="J12" s="80">
        <v>9340.9</v>
      </c>
      <c r="K12" s="216">
        <f t="shared" si="2"/>
        <v>4.0473180322025515E-2</v>
      </c>
      <c r="L12" s="80">
        <v>11474.45</v>
      </c>
      <c r="M12" s="216">
        <f t="shared" si="3"/>
        <v>4.0931667158052409E-2</v>
      </c>
      <c r="N12" s="5"/>
    </row>
    <row r="13" spans="1:17" x14ac:dyDescent="0.35">
      <c r="A13" s="40" t="s">
        <v>240</v>
      </c>
      <c r="B13" s="215">
        <f>B10+B11*B12</f>
        <v>0.11935999999999999</v>
      </c>
      <c r="C13" s="37"/>
      <c r="E13" s="247">
        <v>43739</v>
      </c>
      <c r="F13" s="80">
        <v>1809.6</v>
      </c>
      <c r="G13" s="216">
        <f t="shared" si="0"/>
        <v>2.6927333087421568E-2</v>
      </c>
      <c r="H13" s="80">
        <v>15387.13</v>
      </c>
      <c r="I13" s="216">
        <f t="shared" si="1"/>
        <v>3.8967536843299344E-2</v>
      </c>
      <c r="J13" s="80">
        <v>9689.65</v>
      </c>
      <c r="K13" s="216">
        <f t="shared" si="2"/>
        <v>3.7335802759905334E-2</v>
      </c>
      <c r="L13" s="80">
        <v>11877.45</v>
      </c>
      <c r="M13" s="216">
        <f t="shared" si="3"/>
        <v>3.5121509091939007E-2</v>
      </c>
      <c r="N13" s="5"/>
    </row>
    <row r="14" spans="1:17" x14ac:dyDescent="0.35">
      <c r="A14" s="262"/>
      <c r="B14" s="263"/>
      <c r="C14" s="264"/>
      <c r="E14" s="247">
        <v>43770</v>
      </c>
      <c r="F14" s="80">
        <v>1706.15</v>
      </c>
      <c r="G14" s="216">
        <f t="shared" si="0"/>
        <v>-5.7167329796640076E-2</v>
      </c>
      <c r="H14" s="80">
        <v>15567.67</v>
      </c>
      <c r="I14" s="216">
        <f t="shared" si="1"/>
        <v>1.1733182211367543E-2</v>
      </c>
      <c r="J14" s="80">
        <v>9813.65</v>
      </c>
      <c r="K14" s="216">
        <f t="shared" si="2"/>
        <v>1.2797159856135165E-2</v>
      </c>
      <c r="L14" s="80">
        <v>12056.05</v>
      </c>
      <c r="M14" s="216">
        <f t="shared" si="3"/>
        <v>1.5036897650589909E-2</v>
      </c>
      <c r="N14" s="5"/>
    </row>
    <row r="15" spans="1:17" x14ac:dyDescent="0.35">
      <c r="A15" s="40" t="s">
        <v>241</v>
      </c>
      <c r="B15" s="217">
        <v>6.0000000000000001E-3</v>
      </c>
      <c r="C15" s="37" t="s">
        <v>242</v>
      </c>
      <c r="D15" s="24" t="s">
        <v>180</v>
      </c>
      <c r="E15" s="247">
        <v>43800</v>
      </c>
      <c r="F15" s="80">
        <v>1784.95</v>
      </c>
      <c r="G15" s="216">
        <f t="shared" si="0"/>
        <v>4.6185857046566747E-2</v>
      </c>
      <c r="H15" s="80">
        <v>15667.44</v>
      </c>
      <c r="I15" s="216">
        <f t="shared" si="1"/>
        <v>6.4087946365769533E-3</v>
      </c>
      <c r="J15" s="80">
        <v>9872.5499999999993</v>
      </c>
      <c r="K15" s="216">
        <f t="shared" si="2"/>
        <v>6.0018443698317547E-3</v>
      </c>
      <c r="L15" s="80">
        <v>12168.45</v>
      </c>
      <c r="M15" s="216">
        <f t="shared" si="3"/>
        <v>9.3231199273395848E-3</v>
      </c>
      <c r="N15" s="5"/>
    </row>
    <row r="16" spans="1:17" x14ac:dyDescent="0.35">
      <c r="A16" s="40" t="s">
        <v>243</v>
      </c>
      <c r="B16" s="217">
        <f>B10+B15</f>
        <v>7.7060000000000003E-2</v>
      </c>
      <c r="C16" s="37"/>
      <c r="E16" s="247">
        <v>43831</v>
      </c>
      <c r="F16" s="80">
        <v>1795.65</v>
      </c>
      <c r="G16" s="216">
        <f t="shared" si="0"/>
        <v>5.9945656741084985E-3</v>
      </c>
      <c r="H16" s="80">
        <v>15649.81</v>
      </c>
      <c r="I16" s="216">
        <f t="shared" si="1"/>
        <v>-1.125263604009441E-3</v>
      </c>
      <c r="J16" s="80">
        <v>9861.4500000000007</v>
      </c>
      <c r="K16" s="216">
        <f t="shared" si="2"/>
        <v>-1.1243295805033471E-3</v>
      </c>
      <c r="L16" s="80">
        <v>11962.1</v>
      </c>
      <c r="M16" s="216">
        <f t="shared" si="3"/>
        <v>-1.6957788378963667E-2</v>
      </c>
      <c r="N16" s="5"/>
    </row>
    <row r="17" spans="1:14" x14ac:dyDescent="0.35">
      <c r="A17" s="40" t="s">
        <v>244</v>
      </c>
      <c r="B17" s="217">
        <v>0.25169999999999998</v>
      </c>
      <c r="C17" s="37" t="s">
        <v>245</v>
      </c>
      <c r="D17" s="24" t="s">
        <v>180</v>
      </c>
      <c r="E17" s="247">
        <v>43862</v>
      </c>
      <c r="F17" s="80">
        <v>1797.95</v>
      </c>
      <c r="G17" s="216">
        <f t="shared" si="0"/>
        <v>1.2808732213960283E-3</v>
      </c>
      <c r="H17" s="80">
        <v>14627.62</v>
      </c>
      <c r="I17" s="216">
        <f t="shared" si="1"/>
        <v>-6.5316447931316635E-2</v>
      </c>
      <c r="J17" s="80">
        <v>9236.0499999999993</v>
      </c>
      <c r="K17" s="216">
        <f t="shared" si="2"/>
        <v>-6.3418665612055114E-2</v>
      </c>
      <c r="L17" s="80">
        <v>11201.75</v>
      </c>
      <c r="M17" s="216">
        <f t="shared" si="3"/>
        <v>-6.3563253943705544E-2</v>
      </c>
      <c r="N17" s="5"/>
    </row>
    <row r="18" spans="1:14" x14ac:dyDescent="0.35">
      <c r="A18" s="40" t="s">
        <v>246</v>
      </c>
      <c r="B18" s="215">
        <f>B16*(1-B17)</f>
        <v>5.7663998000000001E-2</v>
      </c>
      <c r="C18" s="37"/>
      <c r="E18" s="247">
        <v>43891</v>
      </c>
      <c r="F18" s="80">
        <v>1666.5</v>
      </c>
      <c r="G18" s="216">
        <f t="shared" si="0"/>
        <v>-7.3111043132456421E-2</v>
      </c>
      <c r="H18" s="80">
        <v>11098.23</v>
      </c>
      <c r="I18" s="216">
        <f t="shared" si="1"/>
        <v>-0.24128258732452723</v>
      </c>
      <c r="J18" s="80">
        <v>6996.75</v>
      </c>
      <c r="K18" s="216">
        <f t="shared" si="2"/>
        <v>-0.2424521305103372</v>
      </c>
      <c r="L18" s="80">
        <v>8597.75</v>
      </c>
      <c r="M18" s="216">
        <f t="shared" si="3"/>
        <v>-0.23246367755038277</v>
      </c>
      <c r="N18" s="5"/>
    </row>
    <row r="19" spans="1:14" x14ac:dyDescent="0.35">
      <c r="A19" s="262"/>
      <c r="B19" s="263"/>
      <c r="C19" s="264"/>
      <c r="E19" s="247">
        <v>43922</v>
      </c>
      <c r="F19" s="80">
        <v>1758.7</v>
      </c>
      <c r="G19" s="216">
        <f t="shared" si="0"/>
        <v>5.5325532553255341E-2</v>
      </c>
      <c r="H19" s="80">
        <v>12721</v>
      </c>
      <c r="I19" s="216">
        <f t="shared" si="1"/>
        <v>0.14621881146813509</v>
      </c>
      <c r="J19" s="80">
        <v>8012.9</v>
      </c>
      <c r="K19" s="216">
        <f t="shared" si="2"/>
        <v>0.14523171472469354</v>
      </c>
      <c r="L19" s="80">
        <v>9859.9</v>
      </c>
      <c r="M19" s="216">
        <f t="shared" si="3"/>
        <v>0.14680003489284976</v>
      </c>
      <c r="N19" s="5"/>
    </row>
    <row r="20" spans="1:14" x14ac:dyDescent="0.35">
      <c r="A20" s="40" t="s">
        <v>247</v>
      </c>
      <c r="B20" s="215">
        <f>B13*B6</f>
        <v>0.11714320070728514</v>
      </c>
      <c r="C20" s="37"/>
      <c r="E20" s="247">
        <v>43952</v>
      </c>
      <c r="F20" s="80">
        <v>1683.1</v>
      </c>
      <c r="G20" s="216">
        <f t="shared" si="0"/>
        <v>-4.298629669642362E-2</v>
      </c>
      <c r="H20" s="80">
        <v>12414.85</v>
      </c>
      <c r="I20" s="216">
        <f t="shared" si="1"/>
        <v>-2.4066504205644157E-2</v>
      </c>
      <c r="J20" s="80">
        <v>7822.4</v>
      </c>
      <c r="K20" s="216">
        <f t="shared" si="2"/>
        <v>-2.3774164160291544E-2</v>
      </c>
      <c r="L20" s="80">
        <v>9580.2999999999993</v>
      </c>
      <c r="M20" s="216">
        <f t="shared" si="3"/>
        <v>-2.8357285570847601E-2</v>
      </c>
      <c r="N20" s="5"/>
    </row>
    <row r="21" spans="1:14" x14ac:dyDescent="0.35">
      <c r="A21" s="40" t="s">
        <v>248</v>
      </c>
      <c r="B21" s="215">
        <f>B18*B7</f>
        <v>1.0709576908638665E-3</v>
      </c>
      <c r="C21" s="37"/>
      <c r="E21" s="247">
        <v>43983</v>
      </c>
      <c r="F21" s="80">
        <v>1687.45</v>
      </c>
      <c r="G21" s="216">
        <f t="shared" si="0"/>
        <v>2.5845166656766061E-3</v>
      </c>
      <c r="H21" s="80">
        <v>13438.14</v>
      </c>
      <c r="I21" s="216">
        <f t="shared" si="1"/>
        <v>8.2424676899036209E-2</v>
      </c>
      <c r="J21" s="80">
        <v>8474.7999999999993</v>
      </c>
      <c r="K21" s="216">
        <f t="shared" si="2"/>
        <v>8.3401513601963462E-2</v>
      </c>
      <c r="L21" s="80">
        <v>10302.1</v>
      </c>
      <c r="M21" s="216">
        <f t="shared" si="3"/>
        <v>7.5342108284709441E-2</v>
      </c>
      <c r="N21" s="5"/>
    </row>
    <row r="22" spans="1:14" x14ac:dyDescent="0.35">
      <c r="A22" s="262"/>
      <c r="B22" s="263"/>
      <c r="C22" s="264"/>
      <c r="E22" s="247">
        <v>44013</v>
      </c>
      <c r="F22" s="80">
        <v>1715.5</v>
      </c>
      <c r="G22" s="216">
        <f t="shared" si="0"/>
        <v>1.662271474710364E-2</v>
      </c>
      <c r="H22" s="80">
        <v>14346.18</v>
      </c>
      <c r="I22" s="216">
        <f t="shared" si="1"/>
        <v>6.7571851461586174E-2</v>
      </c>
      <c r="J22" s="80">
        <v>9035.75</v>
      </c>
      <c r="K22" s="216">
        <f t="shared" si="2"/>
        <v>6.619035257469208E-2</v>
      </c>
      <c r="L22" s="80">
        <v>11073.45</v>
      </c>
      <c r="M22" s="216">
        <f t="shared" si="3"/>
        <v>7.4873084128478595E-2</v>
      </c>
      <c r="N22" s="5"/>
    </row>
    <row r="23" spans="1:14" x14ac:dyDescent="0.35">
      <c r="A23" s="40" t="s">
        <v>249</v>
      </c>
      <c r="B23" s="218">
        <f>B20+B21</f>
        <v>0.118214158398149</v>
      </c>
      <c r="C23" s="37"/>
      <c r="E23" s="247">
        <v>44044</v>
      </c>
      <c r="F23" s="80">
        <v>1899.1</v>
      </c>
      <c r="G23" s="216">
        <f t="shared" si="0"/>
        <v>0.10702419119790152</v>
      </c>
      <c r="H23" s="80">
        <v>14890.06</v>
      </c>
      <c r="I23" s="216">
        <f t="shared" si="1"/>
        <v>3.791113732017859E-2</v>
      </c>
      <c r="J23" s="80">
        <v>9372.0499999999993</v>
      </c>
      <c r="K23" s="216">
        <f t="shared" si="2"/>
        <v>3.7218825222034679E-2</v>
      </c>
      <c r="L23" s="80">
        <v>11387.5</v>
      </c>
      <c r="M23" s="216">
        <f t="shared" si="3"/>
        <v>2.8360628349791472E-2</v>
      </c>
      <c r="N23" s="5"/>
    </row>
    <row r="24" spans="1:14" ht="18" customHeight="1" x14ac:dyDescent="0.4">
      <c r="A24" s="6"/>
      <c r="B24" s="7"/>
      <c r="C24" s="7"/>
      <c r="E24" s="247">
        <v>44075</v>
      </c>
      <c r="F24" s="80">
        <v>1986.4</v>
      </c>
      <c r="G24" s="216">
        <f t="shared" si="0"/>
        <v>4.5969143278395075E-2</v>
      </c>
      <c r="H24" s="80">
        <v>14851</v>
      </c>
      <c r="I24" s="216">
        <f t="shared" si="1"/>
        <v>-2.6232265014378697E-3</v>
      </c>
      <c r="J24" s="80">
        <v>9341.75</v>
      </c>
      <c r="K24" s="216">
        <f t="shared" si="2"/>
        <v>-3.2330173227841374E-3</v>
      </c>
      <c r="L24" s="80">
        <v>11247.55</v>
      </c>
      <c r="M24" s="216">
        <f t="shared" si="3"/>
        <v>-1.2289791437980258E-2</v>
      </c>
      <c r="N24" s="5"/>
    </row>
    <row r="25" spans="1:14" ht="18" customHeight="1" x14ac:dyDescent="0.4">
      <c r="A25" s="108" t="s">
        <v>250</v>
      </c>
      <c r="B25" s="246">
        <v>2</v>
      </c>
      <c r="C25" s="7"/>
      <c r="E25" s="247">
        <v>44105</v>
      </c>
      <c r="F25" s="80">
        <v>2211.5</v>
      </c>
      <c r="G25" s="216">
        <f t="shared" si="0"/>
        <v>0.11332057994361655</v>
      </c>
      <c r="H25" s="80">
        <v>15215.01</v>
      </c>
      <c r="I25" s="216">
        <f t="shared" si="1"/>
        <v>2.4510807353040232E-2</v>
      </c>
      <c r="J25" s="80">
        <v>9581.65</v>
      </c>
      <c r="K25" s="216">
        <f t="shared" si="2"/>
        <v>2.5680413198811758E-2</v>
      </c>
      <c r="L25" s="80">
        <v>11642.4</v>
      </c>
      <c r="M25" s="216">
        <f t="shared" si="3"/>
        <v>3.5105422958777721E-2</v>
      </c>
      <c r="N25" s="5"/>
    </row>
    <row r="26" spans="1:14" ht="18" customHeight="1" x14ac:dyDescent="0.4">
      <c r="A26" s="265" t="s">
        <v>251</v>
      </c>
      <c r="B26" s="264"/>
      <c r="C26" s="7"/>
      <c r="E26" s="247">
        <v>44136</v>
      </c>
      <c r="F26" s="80">
        <v>2215.3000000000002</v>
      </c>
      <c r="G26" s="216">
        <f t="shared" si="0"/>
        <v>1.7182907528827673E-3</v>
      </c>
      <c r="H26" s="80">
        <v>16995.009999999998</v>
      </c>
      <c r="I26" s="216">
        <f t="shared" si="1"/>
        <v>0.11698973579379834</v>
      </c>
      <c r="J26" s="80">
        <v>10719.05</v>
      </c>
      <c r="K26" s="216">
        <f t="shared" si="2"/>
        <v>0.11870606837027031</v>
      </c>
      <c r="L26" s="80">
        <v>12968.95</v>
      </c>
      <c r="M26" s="216">
        <f t="shared" si="3"/>
        <v>0.11394128358414091</v>
      </c>
      <c r="N26" s="5"/>
    </row>
    <row r="27" spans="1:14" ht="18" customHeight="1" x14ac:dyDescent="0.4">
      <c r="A27" s="265" t="s">
        <v>252</v>
      </c>
      <c r="B27" s="264"/>
      <c r="C27" s="7"/>
      <c r="E27" s="247">
        <v>44166</v>
      </c>
      <c r="F27" s="80">
        <v>2764.5</v>
      </c>
      <c r="G27" s="216">
        <f t="shared" si="0"/>
        <v>0.24791224664830946</v>
      </c>
      <c r="H27" s="80">
        <v>18300.099999999999</v>
      </c>
      <c r="I27" s="216">
        <f t="shared" si="1"/>
        <v>7.6792540869349279E-2</v>
      </c>
      <c r="J27" s="80">
        <v>11518.3</v>
      </c>
      <c r="K27" s="216">
        <f t="shared" si="2"/>
        <v>7.4563510758882456E-2</v>
      </c>
      <c r="L27" s="80">
        <v>13981.75</v>
      </c>
      <c r="M27" s="216">
        <f t="shared" si="3"/>
        <v>7.8094217342190353E-2</v>
      </c>
      <c r="N27" s="5"/>
    </row>
    <row r="28" spans="1:14" x14ac:dyDescent="0.35">
      <c r="C28" s="7"/>
      <c r="E28" s="247">
        <v>44197</v>
      </c>
      <c r="F28" s="80">
        <v>2407.35</v>
      </c>
      <c r="G28" s="216">
        <f t="shared" si="0"/>
        <v>-0.12919153553988061</v>
      </c>
      <c r="H28" s="80">
        <v>17975.3</v>
      </c>
      <c r="I28" s="216">
        <f t="shared" si="1"/>
        <v>-1.7748536893240963E-2</v>
      </c>
      <c r="J28" s="80">
        <v>11302.4</v>
      </c>
      <c r="K28" s="216">
        <f t="shared" si="2"/>
        <v>-1.874408549872808E-2</v>
      </c>
      <c r="L28" s="80">
        <v>13634.6</v>
      </c>
      <c r="M28" s="216">
        <f t="shared" si="3"/>
        <v>-2.4828794678777633E-2</v>
      </c>
      <c r="N28" s="5"/>
    </row>
    <row r="29" spans="1:14" x14ac:dyDescent="0.35">
      <c r="A29" s="40" t="s">
        <v>253</v>
      </c>
      <c r="B29" s="219">
        <v>95.919779000000005</v>
      </c>
      <c r="E29" s="247">
        <v>44228</v>
      </c>
      <c r="F29" s="80">
        <v>2277.1999999999998</v>
      </c>
      <c r="G29" s="216">
        <f t="shared" si="0"/>
        <v>-5.4063596901156918E-2</v>
      </c>
      <c r="H29" s="80">
        <v>19371.25</v>
      </c>
      <c r="I29" s="216">
        <f t="shared" si="1"/>
        <v>7.7659343654904234E-2</v>
      </c>
      <c r="J29" s="80">
        <v>12181.4</v>
      </c>
      <c r="K29" s="216">
        <f t="shared" si="2"/>
        <v>7.7771092865232205E-2</v>
      </c>
      <c r="L29" s="80">
        <v>14529.15</v>
      </c>
      <c r="M29" s="216">
        <f t="shared" si="3"/>
        <v>6.5608818740557018E-2</v>
      </c>
      <c r="N29" s="5"/>
    </row>
    <row r="30" spans="1:14" x14ac:dyDescent="0.35">
      <c r="A30" s="40" t="s">
        <v>254</v>
      </c>
      <c r="B30" s="79">
        <v>2164.5</v>
      </c>
      <c r="C30" s="7"/>
      <c r="E30" s="247">
        <v>44256</v>
      </c>
      <c r="F30" s="80">
        <v>2537.4</v>
      </c>
      <c r="G30" s="216">
        <f t="shared" si="0"/>
        <v>0.11426313015984557</v>
      </c>
      <c r="H30" s="80">
        <v>19601.95</v>
      </c>
      <c r="I30" s="216">
        <f t="shared" si="1"/>
        <v>1.1909401819707011E-2</v>
      </c>
      <c r="J30" s="80">
        <v>12313.7</v>
      </c>
      <c r="K30" s="216">
        <f t="shared" si="2"/>
        <v>1.0860820595333998E-2</v>
      </c>
      <c r="L30" s="80">
        <v>14690.7</v>
      </c>
      <c r="M30" s="216">
        <f t="shared" si="3"/>
        <v>1.111902623346861E-2</v>
      </c>
      <c r="N30" s="5"/>
    </row>
    <row r="31" spans="1:14" x14ac:dyDescent="0.35">
      <c r="A31" s="40" t="s">
        <v>255</v>
      </c>
      <c r="B31" s="220">
        <f>B29*B30</f>
        <v>207618.3616455</v>
      </c>
      <c r="C31" s="7"/>
      <c r="E31" s="247">
        <v>44287</v>
      </c>
      <c r="F31" s="80">
        <v>2536.4</v>
      </c>
      <c r="G31" s="216">
        <f t="shared" si="0"/>
        <v>-3.9410420115082445E-4</v>
      </c>
      <c r="H31" s="80">
        <v>19689.52</v>
      </c>
      <c r="I31" s="216">
        <f t="shared" si="1"/>
        <v>4.4674126808812442E-3</v>
      </c>
      <c r="J31" s="80">
        <v>12364.35</v>
      </c>
      <c r="K31" s="216">
        <f t="shared" si="2"/>
        <v>4.1133046931465245E-3</v>
      </c>
      <c r="L31" s="80">
        <v>14631.1</v>
      </c>
      <c r="M31" s="216">
        <f t="shared" si="3"/>
        <v>-4.0569884348601315E-3</v>
      </c>
      <c r="N31" s="5"/>
    </row>
    <row r="32" spans="1:14" ht="31" customHeight="1" x14ac:dyDescent="0.35">
      <c r="A32" s="41" t="s">
        <v>256</v>
      </c>
      <c r="B32" s="221">
        <v>207618</v>
      </c>
      <c r="E32" s="247">
        <v>44317</v>
      </c>
      <c r="F32" s="80">
        <v>2977.5</v>
      </c>
      <c r="G32" s="216">
        <f t="shared" si="0"/>
        <v>0.17390790096199327</v>
      </c>
      <c r="H32" s="80">
        <v>21055.18</v>
      </c>
      <c r="I32" s="216">
        <f t="shared" si="1"/>
        <v>6.9359740613280652E-2</v>
      </c>
      <c r="J32" s="80">
        <v>13226.35</v>
      </c>
      <c r="K32" s="216">
        <f t="shared" si="2"/>
        <v>6.9716564154201466E-2</v>
      </c>
      <c r="L32" s="80">
        <v>15582.8</v>
      </c>
      <c r="M32" s="216">
        <f t="shared" si="3"/>
        <v>6.5046373820150105E-2</v>
      </c>
      <c r="N32" s="5"/>
    </row>
    <row r="33" spans="1:14" x14ac:dyDescent="0.35">
      <c r="A33" s="40" t="s">
        <v>257</v>
      </c>
      <c r="B33" s="220">
        <f>'Historical BS'!I15+'Historical BS'!I17+'Historical BS'!I18</f>
        <v>3928.9300000000003</v>
      </c>
      <c r="E33" s="247">
        <v>44348</v>
      </c>
      <c r="F33" s="80">
        <v>2992.7</v>
      </c>
      <c r="G33" s="216">
        <f t="shared" si="0"/>
        <v>5.1049538203189471E-3</v>
      </c>
      <c r="H33" s="80">
        <v>21463.09</v>
      </c>
      <c r="I33" s="216">
        <f t="shared" si="1"/>
        <v>1.9373379852368755E-2</v>
      </c>
      <c r="J33" s="80">
        <v>13473.55</v>
      </c>
      <c r="K33" s="216">
        <f t="shared" si="2"/>
        <v>1.868996359539854E-2</v>
      </c>
      <c r="L33" s="80">
        <v>15721.5</v>
      </c>
      <c r="M33" s="216">
        <f t="shared" si="3"/>
        <v>8.9008393870164682E-3</v>
      </c>
      <c r="N33" s="5"/>
    </row>
    <row r="34" spans="1:14" x14ac:dyDescent="0.35">
      <c r="E34" s="247">
        <v>44378</v>
      </c>
      <c r="F34" s="80">
        <v>2958.45</v>
      </c>
      <c r="G34" s="216">
        <f t="shared" si="0"/>
        <v>-1.1444514986467036E-2</v>
      </c>
      <c r="H34" s="80">
        <v>21753.68</v>
      </c>
      <c r="I34" s="216">
        <f t="shared" si="1"/>
        <v>1.3539057050965253E-2</v>
      </c>
      <c r="J34" s="80">
        <v>13664.25</v>
      </c>
      <c r="K34" s="216">
        <f t="shared" si="2"/>
        <v>1.4153656608688836E-2</v>
      </c>
      <c r="L34" s="80">
        <v>15763.05</v>
      </c>
      <c r="M34" s="216">
        <f t="shared" si="3"/>
        <v>2.6428775880162902E-3</v>
      </c>
      <c r="N34" s="5"/>
    </row>
    <row r="35" spans="1:14" x14ac:dyDescent="0.35">
      <c r="E35" s="247">
        <v>44409</v>
      </c>
      <c r="F35" s="80">
        <v>3201.35</v>
      </c>
      <c r="G35" s="216">
        <f t="shared" si="0"/>
        <v>8.2103804357011256E-2</v>
      </c>
      <c r="H35" s="80">
        <v>23174.23</v>
      </c>
      <c r="I35" s="216">
        <f t="shared" si="1"/>
        <v>6.5301594948532715E-2</v>
      </c>
      <c r="J35" s="80">
        <v>14555.9</v>
      </c>
      <c r="K35" s="216">
        <f t="shared" si="2"/>
        <v>6.5254221783120236E-2</v>
      </c>
      <c r="L35" s="80">
        <v>17132.2</v>
      </c>
      <c r="M35" s="216">
        <f t="shared" si="3"/>
        <v>8.6858190515160638E-2</v>
      </c>
      <c r="N35" s="5"/>
    </row>
    <row r="36" spans="1:14" x14ac:dyDescent="0.35">
      <c r="E36" s="247">
        <v>44440</v>
      </c>
      <c r="F36" s="80">
        <v>3244.65</v>
      </c>
      <c r="G36" s="216">
        <f t="shared" si="0"/>
        <v>1.3525543911162563E-2</v>
      </c>
      <c r="H36" s="80">
        <v>23937.54</v>
      </c>
      <c r="I36" s="216">
        <f t="shared" si="1"/>
        <v>3.2937879705172479E-2</v>
      </c>
      <c r="J36" s="80">
        <v>15052.65</v>
      </c>
      <c r="K36" s="216">
        <f t="shared" si="2"/>
        <v>3.4127055008621898E-2</v>
      </c>
      <c r="L36" s="80">
        <v>17618.150000000001</v>
      </c>
      <c r="M36" s="216">
        <f t="shared" si="3"/>
        <v>2.8364716732235173E-2</v>
      </c>
      <c r="N36" s="5"/>
    </row>
    <row r="37" spans="1:14" x14ac:dyDescent="0.35">
      <c r="E37" s="247">
        <v>44470</v>
      </c>
      <c r="F37" s="80">
        <v>3100.1</v>
      </c>
      <c r="G37" s="216">
        <f t="shared" si="0"/>
        <v>-4.4550259658206692E-2</v>
      </c>
      <c r="H37" s="80">
        <v>23990.09</v>
      </c>
      <c r="I37" s="216">
        <f t="shared" si="1"/>
        <v>2.1952965927158896E-3</v>
      </c>
      <c r="J37" s="80">
        <v>15086.9</v>
      </c>
      <c r="K37" s="216">
        <f t="shared" si="2"/>
        <v>2.2753468658343046E-3</v>
      </c>
      <c r="L37" s="80">
        <v>17671.650000000001</v>
      </c>
      <c r="M37" s="216">
        <f t="shared" si="3"/>
        <v>3.0366411910445201E-3</v>
      </c>
      <c r="N37" s="5"/>
    </row>
    <row r="38" spans="1:14" x14ac:dyDescent="0.35">
      <c r="E38" s="247">
        <v>44501</v>
      </c>
      <c r="F38" s="80">
        <v>3143.65</v>
      </c>
      <c r="G38" s="216">
        <f t="shared" si="0"/>
        <v>1.4047933937614943E-2</v>
      </c>
      <c r="H38" s="80">
        <v>23276.880000000001</v>
      </c>
      <c r="I38" s="216">
        <f t="shared" si="1"/>
        <v>-2.9729359081187234E-2</v>
      </c>
      <c r="J38" s="80">
        <v>14648.35</v>
      </c>
      <c r="K38" s="216">
        <f t="shared" si="2"/>
        <v>-2.9068264520875631E-2</v>
      </c>
      <c r="L38" s="80">
        <v>16983.2</v>
      </c>
      <c r="M38" s="216">
        <f t="shared" si="3"/>
        <v>-3.8957878862471818E-2</v>
      </c>
      <c r="N38" s="5"/>
    </row>
    <row r="39" spans="1:14" x14ac:dyDescent="0.35">
      <c r="E39" s="247">
        <v>44531</v>
      </c>
      <c r="F39" s="80">
        <v>3382.95</v>
      </c>
      <c r="G39" s="216">
        <f t="shared" si="0"/>
        <v>7.6121705660617378E-2</v>
      </c>
      <c r="H39" s="80">
        <v>23811</v>
      </c>
      <c r="I39" s="216">
        <f t="shared" si="1"/>
        <v>2.2946374256343605E-2</v>
      </c>
      <c r="J39" s="80">
        <v>14996.2</v>
      </c>
      <c r="K39" s="216">
        <f t="shared" si="2"/>
        <v>2.3746701846965701E-2</v>
      </c>
      <c r="L39" s="80">
        <v>17354.05</v>
      </c>
      <c r="M39" s="216">
        <f t="shared" si="3"/>
        <v>2.1836285270149247E-2</v>
      </c>
      <c r="N39" s="5"/>
    </row>
    <row r="40" spans="1:14" x14ac:dyDescent="0.35">
      <c r="E40" s="247">
        <v>44562</v>
      </c>
      <c r="F40" s="80">
        <v>3152.25</v>
      </c>
      <c r="G40" s="216">
        <f t="shared" ref="G40:G71" si="4">F40/F39-1</f>
        <v>-6.8194918636101609E-2</v>
      </c>
      <c r="H40" s="80">
        <v>23715.29</v>
      </c>
      <c r="I40" s="216">
        <f t="shared" ref="I40:I71" si="5">H40/H39-1</f>
        <v>-4.0195707866111929E-3</v>
      </c>
      <c r="J40" s="80">
        <v>14921.45</v>
      </c>
      <c r="K40" s="216">
        <f t="shared" ref="K40:K71" si="6">J40/J39-1</f>
        <v>-4.9845960976780956E-3</v>
      </c>
      <c r="L40" s="80">
        <v>17339.849999999999</v>
      </c>
      <c r="M40" s="216">
        <f t="shared" ref="M40:M71" si="7">L40/L39-1</f>
        <v>-8.1825279977876253E-4</v>
      </c>
      <c r="N40" s="5"/>
    </row>
    <row r="41" spans="1:14" x14ac:dyDescent="0.35">
      <c r="E41" s="247">
        <v>44593</v>
      </c>
      <c r="F41" s="80">
        <v>3174.65</v>
      </c>
      <c r="G41" s="216">
        <f t="shared" si="4"/>
        <v>7.10603537155996E-3</v>
      </c>
      <c r="H41" s="80">
        <v>22741.64</v>
      </c>
      <c r="I41" s="216">
        <f t="shared" si="5"/>
        <v>-4.1055791432447197E-2</v>
      </c>
      <c r="J41" s="80">
        <v>14307.95</v>
      </c>
      <c r="K41" s="216">
        <f t="shared" si="6"/>
        <v>-4.1115307158486658E-2</v>
      </c>
      <c r="L41" s="80">
        <v>16793.900000000001</v>
      </c>
      <c r="M41" s="216">
        <f t="shared" si="7"/>
        <v>-3.1485278131010208E-2</v>
      </c>
      <c r="N41" s="5"/>
    </row>
    <row r="42" spans="1:14" x14ac:dyDescent="0.35">
      <c r="E42" s="247">
        <v>44621</v>
      </c>
      <c r="F42" s="80">
        <v>3079.95</v>
      </c>
      <c r="G42" s="216">
        <f t="shared" si="4"/>
        <v>-2.9830060006615033E-2</v>
      </c>
      <c r="H42" s="80">
        <v>23695.01</v>
      </c>
      <c r="I42" s="216">
        <f t="shared" si="5"/>
        <v>4.1921778728359005E-2</v>
      </c>
      <c r="J42" s="80">
        <v>14894.5</v>
      </c>
      <c r="K42" s="216">
        <f t="shared" si="6"/>
        <v>4.0994691762271884E-2</v>
      </c>
      <c r="L42" s="80">
        <v>17464.75</v>
      </c>
      <c r="M42" s="216">
        <f t="shared" si="7"/>
        <v>3.9946051840251462E-2</v>
      </c>
      <c r="N42" s="5"/>
    </row>
    <row r="43" spans="1:14" x14ac:dyDescent="0.35">
      <c r="E43" s="247">
        <v>44652</v>
      </c>
      <c r="F43" s="80">
        <v>3237.2</v>
      </c>
      <c r="G43" s="216">
        <f t="shared" si="4"/>
        <v>5.1056023636747438E-2</v>
      </c>
      <c r="H43" s="80">
        <v>23551.65</v>
      </c>
      <c r="I43" s="216">
        <f t="shared" si="5"/>
        <v>-6.0502190123573607E-3</v>
      </c>
      <c r="J43" s="80">
        <v>14783.35</v>
      </c>
      <c r="K43" s="216">
        <f t="shared" si="6"/>
        <v>-7.4624861526066955E-3</v>
      </c>
      <c r="L43" s="80">
        <v>17102.55</v>
      </c>
      <c r="M43" s="216">
        <f t="shared" si="7"/>
        <v>-2.0738916961307807E-2</v>
      </c>
      <c r="N43" s="5"/>
    </row>
    <row r="44" spans="1:14" x14ac:dyDescent="0.35">
      <c r="E44" s="247">
        <v>44682</v>
      </c>
      <c r="F44" s="80">
        <v>2859.65</v>
      </c>
      <c r="G44" s="216">
        <f t="shared" si="4"/>
        <v>-0.11662856789818354</v>
      </c>
      <c r="H44" s="80">
        <v>22497.64</v>
      </c>
      <c r="I44" s="216">
        <f t="shared" si="5"/>
        <v>-4.4753127700182471E-2</v>
      </c>
      <c r="J44" s="80">
        <v>14119.6</v>
      </c>
      <c r="K44" s="216">
        <f t="shared" si="6"/>
        <v>-4.4898483767211061E-2</v>
      </c>
      <c r="L44" s="80">
        <v>16584.55</v>
      </c>
      <c r="M44" s="216">
        <f t="shared" si="7"/>
        <v>-3.0287881046978327E-2</v>
      </c>
      <c r="N44" s="5"/>
    </row>
    <row r="45" spans="1:14" x14ac:dyDescent="0.35">
      <c r="E45" s="247">
        <v>44713</v>
      </c>
      <c r="F45" s="80">
        <v>2695.2</v>
      </c>
      <c r="G45" s="216">
        <f t="shared" si="4"/>
        <v>-5.7507037574528463E-2</v>
      </c>
      <c r="H45" s="80">
        <v>21324.54</v>
      </c>
      <c r="I45" s="216">
        <f t="shared" si="5"/>
        <v>-5.2143247025021267E-2</v>
      </c>
      <c r="J45" s="80">
        <v>13387.55</v>
      </c>
      <c r="K45" s="216">
        <f t="shared" si="6"/>
        <v>-5.1846369585540786E-2</v>
      </c>
      <c r="L45" s="80">
        <v>15780.25</v>
      </c>
      <c r="M45" s="216">
        <f t="shared" si="7"/>
        <v>-4.8496944445281853E-2</v>
      </c>
      <c r="N45" s="5"/>
    </row>
    <row r="46" spans="1:14" x14ac:dyDescent="0.35">
      <c r="E46" s="247">
        <v>44743</v>
      </c>
      <c r="F46" s="80">
        <v>3333.75</v>
      </c>
      <c r="G46" s="216">
        <f t="shared" si="4"/>
        <v>0.23692119323241334</v>
      </c>
      <c r="H46" s="80">
        <v>23359.64</v>
      </c>
      <c r="I46" s="216">
        <f t="shared" si="5"/>
        <v>9.5434649469578137E-2</v>
      </c>
      <c r="J46" s="80">
        <v>14665.65</v>
      </c>
      <c r="K46" s="216">
        <f t="shared" si="6"/>
        <v>9.5469297967141209E-2</v>
      </c>
      <c r="L46" s="80">
        <v>17158.25</v>
      </c>
      <c r="M46" s="216">
        <f t="shared" si="7"/>
        <v>8.7324345305048956E-2</v>
      </c>
      <c r="N46" s="5"/>
    </row>
    <row r="47" spans="1:14" x14ac:dyDescent="0.35">
      <c r="E47" s="247">
        <v>44774</v>
      </c>
      <c r="F47" s="80">
        <v>3391.6</v>
      </c>
      <c r="G47" s="216">
        <f t="shared" si="4"/>
        <v>1.7352830896137927E-2</v>
      </c>
      <c r="H47" s="80">
        <v>24437.22</v>
      </c>
      <c r="I47" s="216">
        <f t="shared" si="5"/>
        <v>4.6129991729324749E-2</v>
      </c>
      <c r="J47" s="80">
        <v>15325.05</v>
      </c>
      <c r="K47" s="216">
        <f t="shared" si="6"/>
        <v>4.4962207607572857E-2</v>
      </c>
      <c r="L47" s="80">
        <v>17759.3</v>
      </c>
      <c r="M47" s="216">
        <f t="shared" si="7"/>
        <v>3.5029796162195925E-2</v>
      </c>
      <c r="N47" s="5"/>
    </row>
    <row r="48" spans="1:14" x14ac:dyDescent="0.35">
      <c r="E48" s="247">
        <v>44805</v>
      </c>
      <c r="F48" s="80">
        <v>3342.45</v>
      </c>
      <c r="G48" s="216">
        <f t="shared" si="4"/>
        <v>-1.4491685340252469E-2</v>
      </c>
      <c r="H48" s="80">
        <v>23642.46</v>
      </c>
      <c r="I48" s="216">
        <f t="shared" si="5"/>
        <v>-3.2522520974153424E-2</v>
      </c>
      <c r="J48" s="80">
        <v>14829.35</v>
      </c>
      <c r="K48" s="216">
        <f t="shared" si="6"/>
        <v>-3.2345734597929443E-2</v>
      </c>
      <c r="L48" s="80">
        <v>17094.349999999999</v>
      </c>
      <c r="M48" s="216">
        <f t="shared" si="7"/>
        <v>-3.7442354146841383E-2</v>
      </c>
      <c r="N48" s="5"/>
    </row>
    <row r="49" spans="5:14" x14ac:dyDescent="0.35">
      <c r="E49" s="247">
        <v>44835</v>
      </c>
      <c r="F49" s="80">
        <v>3107.7</v>
      </c>
      <c r="G49" s="216">
        <f t="shared" si="4"/>
        <v>-7.0232912982991502E-2</v>
      </c>
      <c r="H49" s="80">
        <v>24589.55</v>
      </c>
      <c r="I49" s="216">
        <f t="shared" si="5"/>
        <v>4.0058860203210589E-2</v>
      </c>
      <c r="J49" s="80">
        <v>15424</v>
      </c>
      <c r="K49" s="216">
        <f t="shared" si="6"/>
        <v>4.0099532346326683E-2</v>
      </c>
      <c r="L49" s="80">
        <v>18012.2</v>
      </c>
      <c r="M49" s="216">
        <f t="shared" si="7"/>
        <v>5.3693179325332796E-2</v>
      </c>
      <c r="N49" s="5"/>
    </row>
    <row r="50" spans="5:14" x14ac:dyDescent="0.35">
      <c r="E50" s="247">
        <v>44866</v>
      </c>
      <c r="F50" s="80">
        <v>3175.15</v>
      </c>
      <c r="G50" s="216">
        <f t="shared" si="4"/>
        <v>2.1704154197638159E-2</v>
      </c>
      <c r="H50" s="80">
        <v>25406.76</v>
      </c>
      <c r="I50" s="216">
        <f t="shared" si="5"/>
        <v>3.3234036409775625E-2</v>
      </c>
      <c r="J50" s="80">
        <v>15946.15</v>
      </c>
      <c r="K50" s="216">
        <f t="shared" si="6"/>
        <v>3.3853086099584928E-2</v>
      </c>
      <c r="L50" s="80">
        <v>18758.349999999999</v>
      </c>
      <c r="M50" s="216">
        <f t="shared" si="7"/>
        <v>4.1424701035964295E-2</v>
      </c>
      <c r="N50" s="5"/>
    </row>
    <row r="51" spans="5:14" x14ac:dyDescent="0.35">
      <c r="E51" s="247">
        <v>44896</v>
      </c>
      <c r="F51" s="80">
        <v>3087.9</v>
      </c>
      <c r="G51" s="216">
        <f t="shared" si="4"/>
        <v>-2.7479016739366591E-2</v>
      </c>
      <c r="H51" s="80">
        <v>24605.78</v>
      </c>
      <c r="I51" s="216">
        <f t="shared" si="5"/>
        <v>-3.1526255217115384E-2</v>
      </c>
      <c r="J51" s="80">
        <v>15448.85</v>
      </c>
      <c r="K51" s="216">
        <f t="shared" si="6"/>
        <v>-3.1186211091705496E-2</v>
      </c>
      <c r="L51" s="80">
        <v>18105.3</v>
      </c>
      <c r="M51" s="216">
        <f t="shared" si="7"/>
        <v>-3.4813829574562805E-2</v>
      </c>
      <c r="N51" s="5"/>
    </row>
    <row r="52" spans="5:14" x14ac:dyDescent="0.35">
      <c r="E52" s="247">
        <v>44927</v>
      </c>
      <c r="F52" s="80">
        <v>2725.85</v>
      </c>
      <c r="G52" s="216">
        <f t="shared" si="4"/>
        <v>-0.11724796787460734</v>
      </c>
      <c r="H52" s="80">
        <v>23778.46</v>
      </c>
      <c r="I52" s="216">
        <f t="shared" si="5"/>
        <v>-3.3622994272077489E-2</v>
      </c>
      <c r="J52" s="80">
        <v>14935.5</v>
      </c>
      <c r="K52" s="216">
        <f t="shared" si="6"/>
        <v>-3.3229010573602613E-2</v>
      </c>
      <c r="L52" s="80">
        <v>17662.150000000001</v>
      </c>
      <c r="M52" s="216">
        <f t="shared" si="7"/>
        <v>-2.4476258333195111E-2</v>
      </c>
      <c r="N52" s="5"/>
    </row>
    <row r="53" spans="5:14" x14ac:dyDescent="0.35">
      <c r="E53" s="247">
        <v>44958</v>
      </c>
      <c r="F53" s="80">
        <v>2828.8</v>
      </c>
      <c r="G53" s="216">
        <f t="shared" si="4"/>
        <v>3.7768035658602095E-2</v>
      </c>
      <c r="H53" s="80">
        <v>23084.79</v>
      </c>
      <c r="I53" s="216">
        <f t="shared" si="5"/>
        <v>-2.9172200386400005E-2</v>
      </c>
      <c r="J53" s="80">
        <v>14518.75</v>
      </c>
      <c r="K53" s="216">
        <f t="shared" si="6"/>
        <v>-2.7903317599009103E-2</v>
      </c>
      <c r="L53" s="80">
        <v>17303.95</v>
      </c>
      <c r="M53" s="216">
        <f t="shared" si="7"/>
        <v>-2.0280656658447582E-2</v>
      </c>
      <c r="N53" s="5"/>
    </row>
    <row r="54" spans="5:14" x14ac:dyDescent="0.35">
      <c r="E54" s="247">
        <v>44986</v>
      </c>
      <c r="F54" s="80">
        <v>2761.65</v>
      </c>
      <c r="G54" s="216">
        <f t="shared" si="4"/>
        <v>-2.3737980769230838E-2</v>
      </c>
      <c r="H54" s="80">
        <v>23160.01</v>
      </c>
      <c r="I54" s="216">
        <f t="shared" si="5"/>
        <v>3.2584225370904107E-3</v>
      </c>
      <c r="J54" s="80">
        <v>14557.85</v>
      </c>
      <c r="K54" s="216">
        <f t="shared" si="6"/>
        <v>2.6930693069306955E-3</v>
      </c>
      <c r="L54" s="80">
        <v>17359.75</v>
      </c>
      <c r="M54" s="216">
        <f t="shared" si="7"/>
        <v>3.2246972512055549E-3</v>
      </c>
      <c r="N54" s="5"/>
    </row>
    <row r="55" spans="5:14" x14ac:dyDescent="0.35">
      <c r="E55" s="247">
        <v>45017</v>
      </c>
      <c r="F55" s="80">
        <v>2902.35</v>
      </c>
      <c r="G55" s="216">
        <f t="shared" si="4"/>
        <v>5.0947802943892118E-2</v>
      </c>
      <c r="H55" s="80">
        <v>24209.37</v>
      </c>
      <c r="I55" s="216">
        <f t="shared" si="5"/>
        <v>4.5309134149769337E-2</v>
      </c>
      <c r="J55" s="80">
        <v>15219.55</v>
      </c>
      <c r="K55" s="216">
        <f t="shared" si="6"/>
        <v>4.5453140401913616E-2</v>
      </c>
      <c r="L55" s="80">
        <v>18065</v>
      </c>
      <c r="M55" s="216">
        <f t="shared" si="7"/>
        <v>4.0625585045867663E-2</v>
      </c>
      <c r="N55" s="5"/>
    </row>
    <row r="56" spans="5:14" x14ac:dyDescent="0.35">
      <c r="E56" s="247">
        <v>45047</v>
      </c>
      <c r="F56" s="80">
        <v>3192.95</v>
      </c>
      <c r="G56" s="216">
        <f t="shared" si="4"/>
        <v>0.1001257601598704</v>
      </c>
      <c r="H56" s="80">
        <v>25059.67</v>
      </c>
      <c r="I56" s="216">
        <f t="shared" si="5"/>
        <v>3.5122764450293387E-2</v>
      </c>
      <c r="J56" s="80">
        <v>15766.4</v>
      </c>
      <c r="K56" s="216">
        <f t="shared" si="6"/>
        <v>3.5930760107887538E-2</v>
      </c>
      <c r="L56" s="80">
        <v>18534.400000000001</v>
      </c>
      <c r="M56" s="216">
        <f t="shared" si="7"/>
        <v>2.5983946858566309E-2</v>
      </c>
      <c r="N56" s="5"/>
    </row>
    <row r="57" spans="5:14" x14ac:dyDescent="0.35">
      <c r="E57" s="247">
        <v>45078</v>
      </c>
      <c r="F57" s="80">
        <v>3362.05</v>
      </c>
      <c r="G57" s="216">
        <f t="shared" si="4"/>
        <v>5.2960428443915575E-2</v>
      </c>
      <c r="H57" s="80">
        <v>26078.65</v>
      </c>
      <c r="I57" s="216">
        <f t="shared" si="5"/>
        <v>4.0662147586141506E-2</v>
      </c>
      <c r="J57" s="80">
        <v>16430</v>
      </c>
      <c r="K57" s="216">
        <f t="shared" si="6"/>
        <v>4.2089506799269261E-2</v>
      </c>
      <c r="L57" s="80">
        <v>19189.05</v>
      </c>
      <c r="M57" s="216">
        <f t="shared" si="7"/>
        <v>3.5320808874309328E-2</v>
      </c>
      <c r="N57" s="5"/>
    </row>
    <row r="58" spans="5:14" x14ac:dyDescent="0.35">
      <c r="E58" s="247">
        <v>45108</v>
      </c>
      <c r="F58" s="80">
        <v>3377.35</v>
      </c>
      <c r="G58" s="216">
        <f t="shared" si="4"/>
        <v>4.5507949019198968E-3</v>
      </c>
      <c r="H58" s="80">
        <v>27069.01</v>
      </c>
      <c r="I58" s="216">
        <f t="shared" si="5"/>
        <v>3.7975892156994151E-2</v>
      </c>
      <c r="J58" s="80">
        <v>17059</v>
      </c>
      <c r="K58" s="216">
        <f t="shared" si="6"/>
        <v>3.8283627510651286E-2</v>
      </c>
      <c r="L58" s="80">
        <v>19753.8</v>
      </c>
      <c r="M58" s="216">
        <f t="shared" si="7"/>
        <v>2.9430847280089489E-2</v>
      </c>
      <c r="N58" s="5"/>
    </row>
    <row r="59" spans="5:14" x14ac:dyDescent="0.35">
      <c r="E59" s="247">
        <v>45139</v>
      </c>
      <c r="F59" s="80">
        <v>3256.1</v>
      </c>
      <c r="G59" s="216">
        <f t="shared" si="4"/>
        <v>-3.5900928242557084E-2</v>
      </c>
      <c r="H59" s="80">
        <v>26848.76</v>
      </c>
      <c r="I59" s="216">
        <f t="shared" si="5"/>
        <v>-8.1366108328305708E-3</v>
      </c>
      <c r="J59" s="80">
        <v>16924.3</v>
      </c>
      <c r="K59" s="216">
        <f t="shared" si="6"/>
        <v>-7.8961252124978287E-3</v>
      </c>
      <c r="L59" s="80">
        <v>19253.8</v>
      </c>
      <c r="M59" s="216">
        <f t="shared" si="7"/>
        <v>-2.5311585618969512E-2</v>
      </c>
      <c r="N59" s="5"/>
    </row>
    <row r="60" spans="5:14" x14ac:dyDescent="0.35">
      <c r="E60" s="247">
        <v>45170</v>
      </c>
      <c r="F60" s="80">
        <v>3161.05</v>
      </c>
      <c r="G60" s="216">
        <f t="shared" si="4"/>
        <v>-2.9191363901600043E-2</v>
      </c>
      <c r="H60" s="80">
        <v>27407.75</v>
      </c>
      <c r="I60" s="216">
        <f t="shared" si="5"/>
        <v>2.0819955930925671E-2</v>
      </c>
      <c r="J60" s="80">
        <v>17292.599999999999</v>
      </c>
      <c r="K60" s="216">
        <f t="shared" si="6"/>
        <v>2.1761609047346031E-2</v>
      </c>
      <c r="L60" s="80">
        <v>19638.3</v>
      </c>
      <c r="M60" s="216">
        <f t="shared" si="7"/>
        <v>1.9970083827608009E-2</v>
      </c>
      <c r="N60" s="5"/>
    </row>
    <row r="61" spans="5:14" x14ac:dyDescent="0.35">
      <c r="E61" s="247">
        <v>45200</v>
      </c>
      <c r="F61" s="80">
        <v>2995.7</v>
      </c>
      <c r="G61" s="216">
        <f t="shared" si="4"/>
        <v>-5.2308568355451612E-2</v>
      </c>
      <c r="H61" s="80">
        <v>26605.19</v>
      </c>
      <c r="I61" s="216">
        <f t="shared" si="5"/>
        <v>-2.9282228566737567E-2</v>
      </c>
      <c r="J61" s="80">
        <v>16801.099999999999</v>
      </c>
      <c r="K61" s="216">
        <f t="shared" si="6"/>
        <v>-2.8422562252061523E-2</v>
      </c>
      <c r="L61" s="80">
        <v>19079.599999999999</v>
      </c>
      <c r="M61" s="216">
        <f t="shared" si="7"/>
        <v>-2.844950937708457E-2</v>
      </c>
      <c r="N61" s="5"/>
    </row>
    <row r="62" spans="5:14" x14ac:dyDescent="0.35">
      <c r="E62" s="247">
        <v>45231</v>
      </c>
      <c r="F62" s="80">
        <v>3119.9</v>
      </c>
      <c r="G62" s="216">
        <f t="shared" si="4"/>
        <v>4.1459425176085807E-2</v>
      </c>
      <c r="H62" s="80">
        <v>28442.43</v>
      </c>
      <c r="I62" s="216">
        <f t="shared" si="5"/>
        <v>6.9055699282734029E-2</v>
      </c>
      <c r="J62" s="80">
        <v>17987.95</v>
      </c>
      <c r="K62" s="216">
        <f t="shared" si="6"/>
        <v>7.0641208016142043E-2</v>
      </c>
      <c r="L62" s="80">
        <v>20133.150000000001</v>
      </c>
      <c r="M62" s="216">
        <f t="shared" si="7"/>
        <v>5.5218662865049728E-2</v>
      </c>
      <c r="N62" s="5"/>
    </row>
    <row r="63" spans="5:14" x14ac:dyDescent="0.35">
      <c r="E63" s="247">
        <v>45261</v>
      </c>
      <c r="F63" s="80">
        <v>3402.4</v>
      </c>
      <c r="G63" s="216">
        <f t="shared" si="4"/>
        <v>9.0547773967114331E-2</v>
      </c>
      <c r="H63" s="80">
        <v>30720.28</v>
      </c>
      <c r="I63" s="216">
        <f t="shared" si="5"/>
        <v>8.0086335801828445E-2</v>
      </c>
      <c r="J63" s="80">
        <v>19429.150000000001</v>
      </c>
      <c r="K63" s="216">
        <f t="shared" si="6"/>
        <v>8.012030275823534E-2</v>
      </c>
      <c r="L63" s="80">
        <v>21731.4</v>
      </c>
      <c r="M63" s="216">
        <f t="shared" si="7"/>
        <v>7.9384001013254268E-2</v>
      </c>
      <c r="N63" s="5"/>
    </row>
    <row r="64" spans="5:14" x14ac:dyDescent="0.35">
      <c r="E64" s="247">
        <v>45292</v>
      </c>
      <c r="F64" s="80">
        <v>2957.85</v>
      </c>
      <c r="G64" s="216">
        <f t="shared" si="4"/>
        <v>-0.13065777098518694</v>
      </c>
      <c r="H64" s="80">
        <v>31303.35</v>
      </c>
      <c r="I64" s="216">
        <f t="shared" si="5"/>
        <v>1.897997023464626E-2</v>
      </c>
      <c r="J64" s="80">
        <v>19802.099999999999</v>
      </c>
      <c r="K64" s="216">
        <f t="shared" si="6"/>
        <v>1.9195384255101144E-2</v>
      </c>
      <c r="L64" s="80">
        <v>21725.7</v>
      </c>
      <c r="M64" s="216">
        <f t="shared" si="7"/>
        <v>-2.6229327148741266E-4</v>
      </c>
      <c r="N64" s="5"/>
    </row>
    <row r="65" spans="5:14" x14ac:dyDescent="0.35">
      <c r="E65" s="247">
        <v>45323</v>
      </c>
      <c r="F65" s="80">
        <v>2821.9</v>
      </c>
      <c r="G65" s="216">
        <f t="shared" si="4"/>
        <v>-4.5962438933684902E-2</v>
      </c>
      <c r="H65" s="80">
        <v>31777.02</v>
      </c>
      <c r="I65" s="216">
        <f t="shared" si="5"/>
        <v>1.513160731998342E-2</v>
      </c>
      <c r="J65" s="80">
        <v>20090.05</v>
      </c>
      <c r="K65" s="216">
        <f t="shared" si="6"/>
        <v>1.4541387024608499E-2</v>
      </c>
      <c r="L65" s="80">
        <v>21982.799999999999</v>
      </c>
      <c r="M65" s="216">
        <f t="shared" si="7"/>
        <v>1.1833910990209695E-2</v>
      </c>
      <c r="N65" s="5"/>
    </row>
    <row r="66" spans="5:14" x14ac:dyDescent="0.35">
      <c r="E66" s="247">
        <v>45352</v>
      </c>
      <c r="F66" s="80">
        <v>2846.75</v>
      </c>
      <c r="G66" s="216">
        <f t="shared" si="4"/>
        <v>8.8061235337892896E-3</v>
      </c>
      <c r="H66" s="80">
        <v>32043.200000000001</v>
      </c>
      <c r="I66" s="216">
        <f t="shared" si="5"/>
        <v>8.3764934534453772E-3</v>
      </c>
      <c r="J66" s="80">
        <v>20255.150000000001</v>
      </c>
      <c r="K66" s="216">
        <f t="shared" si="6"/>
        <v>8.2179984619252799E-3</v>
      </c>
      <c r="L66" s="80">
        <v>22326.9</v>
      </c>
      <c r="M66" s="216">
        <f t="shared" si="7"/>
        <v>1.5653147005840973E-2</v>
      </c>
      <c r="N66" s="5"/>
    </row>
    <row r="67" spans="5:14" x14ac:dyDescent="0.35">
      <c r="E67" s="247">
        <v>45383</v>
      </c>
      <c r="F67" s="80">
        <v>2875.9</v>
      </c>
      <c r="G67" s="216">
        <f t="shared" si="4"/>
        <v>1.0239747080003525E-2</v>
      </c>
      <c r="H67" s="80">
        <v>33142.57</v>
      </c>
      <c r="I67" s="216">
        <f t="shared" si="5"/>
        <v>3.4308995356268968E-2</v>
      </c>
      <c r="J67" s="80">
        <v>20997.200000000001</v>
      </c>
      <c r="K67" s="216">
        <f t="shared" si="6"/>
        <v>3.6635127362670605E-2</v>
      </c>
      <c r="L67" s="80">
        <v>22604.85</v>
      </c>
      <c r="M67" s="216">
        <f t="shared" si="7"/>
        <v>1.2449108474530624E-2</v>
      </c>
      <c r="N67" s="5"/>
    </row>
    <row r="68" spans="5:14" x14ac:dyDescent="0.35">
      <c r="E68" s="247">
        <v>45413</v>
      </c>
      <c r="F68" s="80">
        <v>2881.2</v>
      </c>
      <c r="G68" s="216">
        <f t="shared" si="4"/>
        <v>1.8429013526199967E-3</v>
      </c>
      <c r="H68" s="80">
        <v>33344.28</v>
      </c>
      <c r="I68" s="216">
        <f t="shared" si="5"/>
        <v>6.0861303151806823E-3</v>
      </c>
      <c r="J68" s="80">
        <v>21103.3</v>
      </c>
      <c r="K68" s="216">
        <f t="shared" si="6"/>
        <v>5.0530546930065423E-3</v>
      </c>
      <c r="L68" s="80">
        <v>22530.7</v>
      </c>
      <c r="M68" s="216">
        <f t="shared" si="7"/>
        <v>-3.2802694996869608E-3</v>
      </c>
      <c r="N68" s="5"/>
    </row>
    <row r="69" spans="5:14" x14ac:dyDescent="0.35">
      <c r="E69" s="247">
        <v>45444</v>
      </c>
      <c r="F69" s="80">
        <v>2917.05</v>
      </c>
      <c r="G69" s="216">
        <f t="shared" si="4"/>
        <v>1.2442732194918982E-2</v>
      </c>
      <c r="H69" s="80">
        <v>35633.910000000003</v>
      </c>
      <c r="I69" s="216">
        <f t="shared" si="5"/>
        <v>6.8666349970669671E-2</v>
      </c>
      <c r="J69" s="80">
        <v>22559.7</v>
      </c>
      <c r="K69" s="216">
        <f t="shared" si="6"/>
        <v>6.9012903195234898E-2</v>
      </c>
      <c r="L69" s="80">
        <v>24010.6</v>
      </c>
      <c r="M69" s="216">
        <f t="shared" si="7"/>
        <v>6.5683711558007341E-2</v>
      </c>
      <c r="N69" s="5"/>
    </row>
    <row r="70" spans="5:14" x14ac:dyDescent="0.35">
      <c r="E70" s="247">
        <v>45474</v>
      </c>
      <c r="F70" s="80">
        <v>3084.45</v>
      </c>
      <c r="G70" s="216">
        <f t="shared" si="4"/>
        <v>5.7386743456574241E-2</v>
      </c>
      <c r="H70" s="80">
        <v>37172.81</v>
      </c>
      <c r="I70" s="216">
        <f t="shared" si="5"/>
        <v>4.3186391838560434E-2</v>
      </c>
      <c r="J70" s="80">
        <v>23530.799999999999</v>
      </c>
      <c r="K70" s="216">
        <f t="shared" si="6"/>
        <v>4.3045785183313479E-2</v>
      </c>
      <c r="L70" s="80">
        <v>24951.15</v>
      </c>
      <c r="M70" s="216">
        <f t="shared" si="7"/>
        <v>3.917228224200997E-2</v>
      </c>
      <c r="N70" s="5"/>
    </row>
    <row r="71" spans="5:14" x14ac:dyDescent="0.35">
      <c r="E71" s="247">
        <v>45505</v>
      </c>
      <c r="F71" s="80">
        <v>3126.8</v>
      </c>
      <c r="G71" s="216">
        <f t="shared" si="4"/>
        <v>1.3730162589765005E-2</v>
      </c>
      <c r="H71" s="80">
        <v>37459.06</v>
      </c>
      <c r="I71" s="216">
        <f t="shared" si="5"/>
        <v>7.7005208914795453E-3</v>
      </c>
      <c r="J71" s="80">
        <v>23734.55</v>
      </c>
      <c r="K71" s="216">
        <f t="shared" si="6"/>
        <v>8.6588641270164413E-3</v>
      </c>
      <c r="L71" s="80">
        <v>25235.9</v>
      </c>
      <c r="M71" s="216">
        <f t="shared" si="7"/>
        <v>1.141229963348378E-2</v>
      </c>
      <c r="N71" s="5"/>
    </row>
    <row r="72" spans="5:14" x14ac:dyDescent="0.35">
      <c r="E72" s="247">
        <v>45536</v>
      </c>
      <c r="F72" s="80">
        <v>3329.1</v>
      </c>
      <c r="G72" s="216">
        <f t="shared" ref="G72:G91" si="8">F72/F71-1</f>
        <v>6.4698733529486852E-2</v>
      </c>
      <c r="H72" s="80">
        <v>38227.64</v>
      </c>
      <c r="I72" s="216">
        <f t="shared" ref="I72:I91" si="9">H72/H71-1</f>
        <v>2.0517866705678234E-2</v>
      </c>
      <c r="J72" s="80">
        <v>24245.200000000001</v>
      </c>
      <c r="K72" s="216">
        <f t="shared" ref="K72:K91" si="10">J72/J71-1</f>
        <v>2.1515048736967968E-2</v>
      </c>
      <c r="L72" s="80">
        <v>25810.85</v>
      </c>
      <c r="M72" s="216">
        <f t="shared" ref="M72:M91" si="11">L72/L71-1</f>
        <v>2.2783019428670892E-2</v>
      </c>
      <c r="N72" s="5"/>
    </row>
    <row r="73" spans="5:14" x14ac:dyDescent="0.35">
      <c r="E73" s="247">
        <v>45566</v>
      </c>
      <c r="F73" s="80">
        <v>2935.65</v>
      </c>
      <c r="G73" s="216">
        <f t="shared" si="8"/>
        <v>-0.11818509507073982</v>
      </c>
      <c r="H73" s="80">
        <v>35738.11</v>
      </c>
      <c r="I73" s="216">
        <f t="shared" si="9"/>
        <v>-6.5123821402524373E-2</v>
      </c>
      <c r="J73" s="80">
        <v>22689.35</v>
      </c>
      <c r="K73" s="216">
        <f t="shared" si="10"/>
        <v>-6.4171464867272765E-2</v>
      </c>
      <c r="L73" s="80">
        <v>24205.35</v>
      </c>
      <c r="M73" s="216">
        <f t="shared" si="11"/>
        <v>-6.2202523357425266E-2</v>
      </c>
      <c r="N73" s="5"/>
    </row>
    <row r="74" spans="5:14" x14ac:dyDescent="0.35">
      <c r="E74" s="247">
        <v>45597</v>
      </c>
      <c r="F74" s="80">
        <v>2479.6</v>
      </c>
      <c r="G74" s="216">
        <f t="shared" si="8"/>
        <v>-0.15534890058419781</v>
      </c>
      <c r="H74" s="80">
        <v>35726.11</v>
      </c>
      <c r="I74" s="216">
        <f t="shared" si="9"/>
        <v>-3.3577601053891293E-4</v>
      </c>
      <c r="J74" s="80">
        <v>22687</v>
      </c>
      <c r="K74" s="216">
        <f t="shared" si="10"/>
        <v>-1.035728216101095E-4</v>
      </c>
      <c r="L74" s="80">
        <v>24131.1</v>
      </c>
      <c r="M74" s="216">
        <f t="shared" si="11"/>
        <v>-3.0675036717089377E-3</v>
      </c>
      <c r="N74" s="5"/>
    </row>
    <row r="75" spans="5:14" x14ac:dyDescent="0.35">
      <c r="E75" s="247">
        <v>45627</v>
      </c>
      <c r="F75" s="80">
        <v>2281.35</v>
      </c>
      <c r="G75" s="216">
        <f t="shared" si="8"/>
        <v>-7.9952411679303115E-2</v>
      </c>
      <c r="H75" s="80">
        <v>35189.03</v>
      </c>
      <c r="I75" s="216">
        <f t="shared" si="9"/>
        <v>-1.5033262787356394E-2</v>
      </c>
      <c r="J75" s="80">
        <v>22375.4</v>
      </c>
      <c r="K75" s="216">
        <f t="shared" si="10"/>
        <v>-1.3734737955657383E-2</v>
      </c>
      <c r="L75" s="80">
        <v>23644.799999999999</v>
      </c>
      <c r="M75" s="216">
        <f t="shared" si="11"/>
        <v>-2.0152417419844082E-2</v>
      </c>
      <c r="N75" s="5"/>
    </row>
    <row r="76" spans="5:14" x14ac:dyDescent="0.35">
      <c r="E76" s="247">
        <v>45658</v>
      </c>
      <c r="F76" s="80">
        <v>2300.8000000000002</v>
      </c>
      <c r="G76" s="216">
        <f t="shared" si="8"/>
        <v>8.5256536699762631E-3</v>
      </c>
      <c r="H76" s="80">
        <v>33962.660000000003</v>
      </c>
      <c r="I76" s="216">
        <f t="shared" si="9"/>
        <v>-3.4850918027578337E-2</v>
      </c>
      <c r="J76" s="80">
        <v>21580.9</v>
      </c>
      <c r="K76" s="216">
        <f t="shared" si="10"/>
        <v>-3.5507745112936528E-2</v>
      </c>
      <c r="L76" s="80">
        <v>23508.400000000001</v>
      </c>
      <c r="M76" s="216">
        <f t="shared" si="11"/>
        <v>-5.7687102449586192E-3</v>
      </c>
      <c r="N76" s="5"/>
    </row>
    <row r="77" spans="5:14" x14ac:dyDescent="0.35">
      <c r="E77" s="247">
        <v>45689</v>
      </c>
      <c r="F77" s="80">
        <v>2179.75</v>
      </c>
      <c r="G77" s="216">
        <f t="shared" si="8"/>
        <v>-5.2612134909596708E-2</v>
      </c>
      <c r="H77" s="80">
        <v>31296.85</v>
      </c>
      <c r="I77" s="216">
        <f t="shared" si="9"/>
        <v>-7.8492379572153825E-2</v>
      </c>
      <c r="J77" s="80">
        <v>19880.900000000001</v>
      </c>
      <c r="K77" s="216">
        <f t="shared" si="10"/>
        <v>-7.8773359776469043E-2</v>
      </c>
      <c r="L77" s="80">
        <v>22124.7</v>
      </c>
      <c r="M77" s="216">
        <f t="shared" si="11"/>
        <v>-5.8859811811948104E-2</v>
      </c>
      <c r="N77" s="5"/>
    </row>
    <row r="78" spans="5:14" x14ac:dyDescent="0.35">
      <c r="E78" s="247">
        <v>45717</v>
      </c>
      <c r="F78" s="80">
        <v>2340.65</v>
      </c>
      <c r="G78" s="216">
        <f t="shared" si="8"/>
        <v>7.3815804564743681E-2</v>
      </c>
      <c r="H78" s="80">
        <v>33579.22</v>
      </c>
      <c r="I78" s="216">
        <f t="shared" si="9"/>
        <v>7.2926508578339488E-2</v>
      </c>
      <c r="J78" s="80">
        <v>21339.55</v>
      </c>
      <c r="K78" s="216">
        <f t="shared" si="10"/>
        <v>7.3369414865524174E-2</v>
      </c>
      <c r="L78" s="80">
        <v>23519.35</v>
      </c>
      <c r="M78" s="216">
        <f t="shared" si="11"/>
        <v>6.3035882972424462E-2</v>
      </c>
      <c r="N78" s="5"/>
    </row>
    <row r="79" spans="5:14" x14ac:dyDescent="0.35">
      <c r="E79" s="247">
        <v>45748</v>
      </c>
      <c r="F79" s="80">
        <v>2425.6999999999998</v>
      </c>
      <c r="G79" s="216">
        <f t="shared" si="8"/>
        <v>3.6336060496015898E-2</v>
      </c>
      <c r="H79" s="80">
        <v>34640.35</v>
      </c>
      <c r="I79" s="216">
        <f t="shared" si="9"/>
        <v>3.1600793586033182E-2</v>
      </c>
      <c r="J79" s="80">
        <v>22030.05</v>
      </c>
      <c r="K79" s="216">
        <f t="shared" si="10"/>
        <v>3.2357758247010926E-2</v>
      </c>
      <c r="L79" s="80">
        <v>24334.2</v>
      </c>
      <c r="M79" s="216">
        <f t="shared" si="11"/>
        <v>3.4645940470293679E-2</v>
      </c>
      <c r="N79" s="5"/>
    </row>
    <row r="80" spans="5:14" x14ac:dyDescent="0.35">
      <c r="E80" s="247">
        <v>45778</v>
      </c>
      <c r="F80" s="80">
        <v>2259.1</v>
      </c>
      <c r="G80" s="216">
        <f t="shared" si="8"/>
        <v>-6.8681205425238034E-2</v>
      </c>
      <c r="H80" s="80">
        <v>35815.160000000003</v>
      </c>
      <c r="I80" s="216">
        <f t="shared" si="9"/>
        <v>3.3914495667624722E-2</v>
      </c>
      <c r="J80" s="80">
        <v>22801.95</v>
      </c>
      <c r="K80" s="216">
        <f t="shared" si="10"/>
        <v>3.503850422491106E-2</v>
      </c>
      <c r="L80" s="80">
        <v>24750.7</v>
      </c>
      <c r="M80" s="216">
        <f t="shared" si="11"/>
        <v>1.7115828751304685E-2</v>
      </c>
      <c r="N80" s="5"/>
    </row>
    <row r="81" spans="5:14" x14ac:dyDescent="0.35">
      <c r="E81" s="247">
        <v>45809</v>
      </c>
      <c r="F81" s="80">
        <v>2341.1</v>
      </c>
      <c r="G81" s="216">
        <f t="shared" si="8"/>
        <v>3.6297640653357499E-2</v>
      </c>
      <c r="H81" s="80">
        <v>37043.160000000003</v>
      </c>
      <c r="I81" s="216">
        <f t="shared" si="9"/>
        <v>3.4287156611892744E-2</v>
      </c>
      <c r="J81" s="80">
        <v>23617.200000000001</v>
      </c>
      <c r="K81" s="216">
        <f t="shared" si="10"/>
        <v>3.5753521080433837E-2</v>
      </c>
      <c r="L81" s="80">
        <v>25517.05</v>
      </c>
      <c r="M81" s="216">
        <f t="shared" si="11"/>
        <v>3.0962760649193788E-2</v>
      </c>
      <c r="N81" s="5"/>
    </row>
    <row r="82" spans="5:14" x14ac:dyDescent="0.35">
      <c r="E82" s="247">
        <v>45839</v>
      </c>
      <c r="F82" s="80">
        <v>2396.1</v>
      </c>
      <c r="G82" s="216">
        <f t="shared" si="8"/>
        <v>2.349322967835632E-2</v>
      </c>
      <c r="H82" s="80">
        <v>35981.74</v>
      </c>
      <c r="I82" s="216">
        <f t="shared" si="9"/>
        <v>-2.8653602986354443E-2</v>
      </c>
      <c r="J82" s="80">
        <v>22914.95</v>
      </c>
      <c r="K82" s="216">
        <f t="shared" si="10"/>
        <v>-2.973468489067288E-2</v>
      </c>
      <c r="L82" s="80">
        <v>24768.35</v>
      </c>
      <c r="M82" s="216">
        <f t="shared" si="11"/>
        <v>-2.9341166004691055E-2</v>
      </c>
      <c r="N82" s="5"/>
    </row>
    <row r="83" spans="5:14" x14ac:dyDescent="0.35">
      <c r="E83" s="247">
        <v>45870</v>
      </c>
      <c r="F83" s="80">
        <v>2518.6</v>
      </c>
      <c r="G83" s="216">
        <f t="shared" si="8"/>
        <v>5.112474437627812E-2</v>
      </c>
      <c r="H83" s="80">
        <v>35287.71</v>
      </c>
      <c r="I83" s="216">
        <f t="shared" si="9"/>
        <v>-1.9288394613490079E-2</v>
      </c>
      <c r="J83" s="80">
        <v>22462.95</v>
      </c>
      <c r="K83" s="216">
        <f t="shared" si="10"/>
        <v>-1.9725113953990681E-2</v>
      </c>
      <c r="L83" s="80">
        <v>24426.85</v>
      </c>
      <c r="M83" s="216">
        <f t="shared" si="11"/>
        <v>-1.3787757359694952E-2</v>
      </c>
      <c r="N83" s="5"/>
    </row>
    <row r="84" spans="5:14" x14ac:dyDescent="0.35">
      <c r="E84" s="247">
        <v>45901</v>
      </c>
      <c r="F84" s="80">
        <v>2350</v>
      </c>
      <c r="G84" s="216">
        <f t="shared" si="8"/>
        <v>-6.6941951878027428E-2</v>
      </c>
      <c r="H84" s="80">
        <v>35714.1</v>
      </c>
      <c r="I84" s="216">
        <f t="shared" si="9"/>
        <v>1.2083243712896152E-2</v>
      </c>
      <c r="J84" s="80">
        <v>22734.1</v>
      </c>
      <c r="K84" s="216">
        <f t="shared" si="10"/>
        <v>1.2070988004692085E-2</v>
      </c>
      <c r="L84" s="80">
        <v>24611.1</v>
      </c>
      <c r="M84" s="216">
        <f t="shared" si="11"/>
        <v>7.5429291947182175E-3</v>
      </c>
      <c r="N84" s="5"/>
    </row>
    <row r="85" spans="5:14" x14ac:dyDescent="0.35">
      <c r="E85" s="247">
        <v>45931</v>
      </c>
      <c r="F85" s="80">
        <v>2510.8000000000002</v>
      </c>
      <c r="G85" s="216">
        <f t="shared" si="8"/>
        <v>6.8425531914893645E-2</v>
      </c>
      <c r="H85" s="80">
        <v>37214.04</v>
      </c>
      <c r="I85" s="216">
        <f t="shared" si="9"/>
        <v>4.1998538392399754E-2</v>
      </c>
      <c r="J85" s="80">
        <v>23710.400000000001</v>
      </c>
      <c r="K85" s="216">
        <f t="shared" si="10"/>
        <v>4.2944299532420516E-2</v>
      </c>
      <c r="L85" s="80">
        <v>25722.1</v>
      </c>
      <c r="M85" s="216">
        <f t="shared" si="11"/>
        <v>4.5142232569856722E-2</v>
      </c>
      <c r="N85" s="5"/>
    </row>
    <row r="86" spans="5:14" x14ac:dyDescent="0.35">
      <c r="E86" s="247">
        <v>45962</v>
      </c>
      <c r="F86" s="80">
        <v>2874.4</v>
      </c>
      <c r="G86" s="216">
        <f t="shared" si="8"/>
        <v>0.14481440178429184</v>
      </c>
      <c r="H86" s="80">
        <v>37535.839999999997</v>
      </c>
      <c r="I86" s="216">
        <f t="shared" si="9"/>
        <v>8.647273985839643E-3</v>
      </c>
      <c r="J86" s="80">
        <v>23933.200000000001</v>
      </c>
      <c r="K86" s="216">
        <f t="shared" si="10"/>
        <v>9.3967204264795434E-3</v>
      </c>
      <c r="L86" s="80">
        <v>26202.95</v>
      </c>
      <c r="M86" s="216">
        <f t="shared" si="11"/>
        <v>1.8694041310779452E-2</v>
      </c>
      <c r="N86" s="5"/>
    </row>
    <row r="87" spans="5:14" x14ac:dyDescent="0.35">
      <c r="E87" s="247">
        <v>45992</v>
      </c>
      <c r="F87" s="80">
        <v>2769.5</v>
      </c>
      <c r="G87" s="216">
        <f t="shared" si="8"/>
        <v>-3.6494572780406354E-2</v>
      </c>
      <c r="H87" s="80">
        <v>37443.410000000003</v>
      </c>
      <c r="I87" s="216">
        <f t="shared" si="9"/>
        <v>-2.462446557743081E-3</v>
      </c>
      <c r="J87" s="80">
        <v>23871.55</v>
      </c>
      <c r="K87" s="216">
        <f t="shared" si="10"/>
        <v>-2.575919643006408E-3</v>
      </c>
      <c r="L87" s="80">
        <v>26129.599999999999</v>
      </c>
      <c r="M87" s="216">
        <f t="shared" si="11"/>
        <v>-2.7993031318993555E-3</v>
      </c>
      <c r="N87" s="5"/>
    </row>
    <row r="88" spans="5:14" x14ac:dyDescent="0.35">
      <c r="E88" s="247">
        <v>46023</v>
      </c>
      <c r="F88" s="80">
        <v>2428.3000000000002</v>
      </c>
      <c r="G88" s="216">
        <f t="shared" si="8"/>
        <v>-0.12319913341758437</v>
      </c>
      <c r="H88" s="80">
        <v>36185.03</v>
      </c>
      <c r="I88" s="216">
        <f t="shared" si="9"/>
        <v>-3.3607515982118197E-2</v>
      </c>
      <c r="J88" s="80">
        <v>23079.5</v>
      </c>
      <c r="K88" s="216">
        <f t="shared" si="10"/>
        <v>-3.3179663658204017E-2</v>
      </c>
      <c r="L88" s="80">
        <v>25320.65</v>
      </c>
      <c r="M88" s="216">
        <f t="shared" si="11"/>
        <v>-3.0959142122343852E-2</v>
      </c>
      <c r="N88" s="5"/>
    </row>
    <row r="89" spans="5:14" x14ac:dyDescent="0.35">
      <c r="E89" s="247">
        <v>46054</v>
      </c>
      <c r="F89" s="80">
        <v>2376.1999999999998</v>
      </c>
      <c r="G89" s="216">
        <f t="shared" si="8"/>
        <v>-2.1455339126137729E-2</v>
      </c>
      <c r="H89" s="80">
        <v>36322.559999999998</v>
      </c>
      <c r="I89" s="216">
        <f t="shared" si="9"/>
        <v>3.8007430144455512E-3</v>
      </c>
      <c r="J89" s="80">
        <v>23166.85</v>
      </c>
      <c r="K89" s="216">
        <f t="shared" si="10"/>
        <v>3.7847440369158658E-3</v>
      </c>
      <c r="L89" s="80">
        <v>25178.65</v>
      </c>
      <c r="M89" s="216">
        <f t="shared" si="11"/>
        <v>-5.6080708828565307E-3</v>
      </c>
      <c r="N89" s="5"/>
    </row>
    <row r="90" spans="5:14" x14ac:dyDescent="0.35">
      <c r="E90" s="247">
        <v>46082</v>
      </c>
      <c r="F90" s="80">
        <v>2165.1999999999998</v>
      </c>
      <c r="G90" s="216">
        <f t="shared" si="8"/>
        <v>-8.8797239289622132E-2</v>
      </c>
      <c r="H90" s="80">
        <v>32182.38</v>
      </c>
      <c r="I90" s="216">
        <f t="shared" si="9"/>
        <v>-0.11398370599429108</v>
      </c>
      <c r="J90" s="80">
        <v>20528.05</v>
      </c>
      <c r="K90" s="216">
        <f t="shared" si="10"/>
        <v>-0.11390413457159687</v>
      </c>
      <c r="L90" s="80">
        <v>22331.4</v>
      </c>
      <c r="M90" s="216">
        <f t="shared" si="11"/>
        <v>-0.11308191662380629</v>
      </c>
      <c r="N90" s="5"/>
    </row>
    <row r="91" spans="5:14" x14ac:dyDescent="0.35">
      <c r="E91" s="247">
        <v>46113</v>
      </c>
      <c r="F91" s="80">
        <v>2444.5</v>
      </c>
      <c r="G91" s="216">
        <f t="shared" si="8"/>
        <v>0.12899501200812868</v>
      </c>
      <c r="H91" s="80">
        <v>35515.949999999997</v>
      </c>
      <c r="I91" s="216">
        <f t="shared" si="9"/>
        <v>0.10358370014896345</v>
      </c>
      <c r="J91" s="80">
        <v>22683.55</v>
      </c>
      <c r="K91" s="216">
        <f t="shared" si="10"/>
        <v>0.10500266708235806</v>
      </c>
      <c r="L91" s="80">
        <v>23997.55</v>
      </c>
      <c r="M91" s="216">
        <f t="shared" si="11"/>
        <v>7.4610190135862453E-2</v>
      </c>
      <c r="N91" s="5"/>
    </row>
    <row r="92" spans="5:14" x14ac:dyDescent="0.35">
      <c r="N92" s="5"/>
    </row>
  </sheetData>
  <sheetProtection algorithmName="SHA-512" hashValue="TuVrn2srSttFApmFH9Qhfr2qX3bAcEa8gWWQrhHT1Jxo1Fi7kRnuxWDocZDmZNbFDGF6LyPOWOJXBrIMdYQjaQ==" saltValue="KvQEduOJjEvXPMCuUpOsWw==" spinCount="100000" sheet="1" objects="1" scenarios="1"/>
  <mergeCells count="16">
    <mergeCell ref="O4:O6"/>
    <mergeCell ref="J5:K5"/>
    <mergeCell ref="A14:C14"/>
    <mergeCell ref="F5:G5"/>
    <mergeCell ref="A1:N1"/>
    <mergeCell ref="A2:N2"/>
    <mergeCell ref="A8:C9"/>
    <mergeCell ref="A22:C22"/>
    <mergeCell ref="A27:B27"/>
    <mergeCell ref="H5:I5"/>
    <mergeCell ref="L5:M5"/>
    <mergeCell ref="A4:C4"/>
    <mergeCell ref="E4:M4"/>
    <mergeCell ref="A26:B26"/>
    <mergeCell ref="E5:E6"/>
    <mergeCell ref="A19:C19"/>
  </mergeCells>
  <dataValidations count="1">
    <dataValidation type="whole" allowBlank="1" showInputMessage="1" showErrorMessage="1" errorTitle="Invalid Input" error="Input appropriate value corresponding to one of the equity value cases." promptTitle="Equity Value Case Selector" prompt="Choose 1 or 2 according to the Equity Value you want to use. Either 1 for calculation based or 2 for annual report based." sqref="B25" xr:uid="{00000000-0002-0000-0800-000000000000}">
      <formula1>1</formula1>
      <formula2>2</formula2>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50"/>
  <sheetViews>
    <sheetView showGridLines="0" workbookViewId="0">
      <selection activeCell="B6" sqref="B6"/>
    </sheetView>
  </sheetViews>
  <sheetFormatPr defaultColWidth="9.1796875" defaultRowHeight="17.5" x14ac:dyDescent="0.35"/>
  <cols>
    <col min="1" max="1" width="53.453125" style="3" bestFit="1" customWidth="1"/>
    <col min="2" max="2" width="15.1796875" style="3" bestFit="1" customWidth="1"/>
    <col min="3" max="3" width="12.81640625" style="3" bestFit="1" customWidth="1"/>
    <col min="4" max="4" width="11" style="3" bestFit="1" customWidth="1"/>
    <col min="5" max="8" width="12.81640625" style="3" bestFit="1" customWidth="1"/>
    <col min="9" max="9" width="2.81640625" style="3" customWidth="1"/>
    <col min="10" max="14" width="12.81640625" style="3" bestFit="1" customWidth="1"/>
    <col min="15" max="15" width="42.1796875" style="3" bestFit="1" customWidth="1"/>
    <col min="16" max="16" width="17.54296875" style="3" customWidth="1"/>
    <col min="17" max="18" width="5.26953125" style="3" customWidth="1"/>
    <col min="19" max="21" width="9.1796875" style="3" customWidth="1"/>
    <col min="22" max="16384" width="9.1796875" style="3"/>
  </cols>
  <sheetData>
    <row r="1" spans="1:17" s="250" customFormat="1" ht="24" customHeight="1" x14ac:dyDescent="0.35">
      <c r="A1" s="250" t="s">
        <v>258</v>
      </c>
    </row>
    <row r="2" spans="1:17" s="257" customFormat="1" ht="18" customHeight="1" x14ac:dyDescent="0.35">
      <c r="A2" s="257" t="s">
        <v>46</v>
      </c>
    </row>
    <row r="4" spans="1:17" ht="18" customHeight="1" x14ac:dyDescent="0.4">
      <c r="A4" s="114" t="s">
        <v>259</v>
      </c>
      <c r="B4" s="222">
        <f>WACC!B23</f>
        <v>0.118214158398149</v>
      </c>
    </row>
    <row r="5" spans="1:17" ht="18" customHeight="1" x14ac:dyDescent="0.4">
      <c r="A5" s="102" t="s">
        <v>260</v>
      </c>
      <c r="B5" s="245">
        <v>2</v>
      </c>
      <c r="O5" s="276" t="s">
        <v>261</v>
      </c>
      <c r="P5" s="117" t="s">
        <v>262</v>
      </c>
      <c r="Q5" s="223">
        <v>0.01</v>
      </c>
    </row>
    <row r="6" spans="1:17" ht="18" customHeight="1" x14ac:dyDescent="0.4">
      <c r="O6" s="255"/>
      <c r="P6" s="117" t="s">
        <v>157</v>
      </c>
      <c r="Q6" s="223">
        <v>0.02</v>
      </c>
    </row>
    <row r="7" spans="1:17" ht="18" customHeight="1" x14ac:dyDescent="0.4">
      <c r="O7" s="256"/>
      <c r="P7" s="117" t="s">
        <v>263</v>
      </c>
      <c r="Q7" s="223">
        <v>0.03</v>
      </c>
    </row>
    <row r="9" spans="1:17" ht="18" customHeight="1" x14ac:dyDescent="0.35">
      <c r="A9" s="112" t="s">
        <v>161</v>
      </c>
      <c r="B9" s="113" t="s">
        <v>15</v>
      </c>
      <c r="C9" s="113" t="s">
        <v>20</v>
      </c>
      <c r="D9" s="113" t="s">
        <v>23</v>
      </c>
      <c r="E9" s="113" t="s">
        <v>28</v>
      </c>
      <c r="F9" s="113" t="s">
        <v>33</v>
      </c>
      <c r="G9" s="113" t="s">
        <v>38</v>
      </c>
      <c r="H9" s="113" t="s">
        <v>42</v>
      </c>
      <c r="I9" s="113"/>
      <c r="J9" s="113" t="s">
        <v>162</v>
      </c>
      <c r="K9" s="113" t="s">
        <v>163</v>
      </c>
      <c r="L9" s="113" t="s">
        <v>164</v>
      </c>
      <c r="M9" s="113" t="s">
        <v>165</v>
      </c>
      <c r="N9" s="107" t="s">
        <v>166</v>
      </c>
      <c r="O9" s="107" t="s">
        <v>167</v>
      </c>
    </row>
    <row r="10" spans="1:17" x14ac:dyDescent="0.35">
      <c r="A10" s="56" t="s">
        <v>218</v>
      </c>
      <c r="B10" s="61"/>
      <c r="C10" s="198">
        <f>'Forecast FCF'!C11</f>
        <v>3653.8845841997054</v>
      </c>
      <c r="D10" s="198">
        <f>'Forecast FCF'!D11</f>
        <v>776.27731397992238</v>
      </c>
      <c r="E10" s="198">
        <f>'Forecast FCF'!E11</f>
        <v>2667.9993134792203</v>
      </c>
      <c r="F10" s="198">
        <f>'Forecast FCF'!F11</f>
        <v>3701.1401235476856</v>
      </c>
      <c r="G10" s="198">
        <f>'Forecast FCF'!G11</f>
        <v>2662.108956941609</v>
      </c>
      <c r="H10" s="198">
        <f>'Forecast FCF'!H11</f>
        <v>5022.641800017991</v>
      </c>
      <c r="I10" s="61"/>
      <c r="J10" s="198">
        <f>'Forecast FCF'!J11</f>
        <v>2797.3008386896745</v>
      </c>
      <c r="K10" s="198">
        <f>'Forecast FCF'!K11</f>
        <v>3672.1045401870811</v>
      </c>
      <c r="L10" s="198">
        <f>'Forecast FCF'!L11</f>
        <v>3922.4242927490131</v>
      </c>
      <c r="M10" s="198">
        <f>'Forecast FCF'!M11</f>
        <v>4180.7334087605996</v>
      </c>
      <c r="N10" s="198">
        <f>'Forecast FCF'!N11</f>
        <v>4446.237189171713</v>
      </c>
    </row>
    <row r="11" spans="1:17" x14ac:dyDescent="0.35">
      <c r="A11" s="56" t="s">
        <v>264</v>
      </c>
      <c r="B11" s="42"/>
      <c r="C11" s="42"/>
      <c r="D11" s="42"/>
      <c r="E11" s="42"/>
      <c r="F11" s="42"/>
      <c r="G11" s="42"/>
      <c r="H11" s="42"/>
      <c r="I11" s="42"/>
      <c r="J11" s="241">
        <f>1/(1+Sensitivity!$L$5)^1</f>
        <v>0.89428307850484401</v>
      </c>
      <c r="K11" s="241">
        <f>1/(1+Sensitivity!$L$5)^2</f>
        <v>0.79974222450010102</v>
      </c>
      <c r="L11" s="241">
        <f>1/(1+Sensitivity!$L$5)^3</f>
        <v>0.7151959385362624</v>
      </c>
      <c r="M11" s="241">
        <f>1/(1+Sensitivity!$L$5)^4</f>
        <v>0.63958762564836991</v>
      </c>
      <c r="N11" s="241">
        <f>1/(1+Sensitivity!$L$5)^5</f>
        <v>0.57197239083842799</v>
      </c>
    </row>
    <row r="12" spans="1:17" x14ac:dyDescent="0.35">
      <c r="A12" s="84"/>
      <c r="B12" s="84"/>
      <c r="C12" s="84"/>
      <c r="D12" s="84"/>
      <c r="E12" s="84"/>
      <c r="F12" s="84"/>
      <c r="G12" s="84"/>
      <c r="H12" s="84"/>
      <c r="I12" s="84"/>
      <c r="J12" s="204">
        <f>J10*J11</f>
        <v>2501.5788055275843</v>
      </c>
      <c r="K12" s="204">
        <f>K10*K11</f>
        <v>2936.7370535661366</v>
      </c>
      <c r="L12" s="204">
        <f>L10*L11</f>
        <v>2805.3019233900659</v>
      </c>
      <c r="M12" s="204">
        <f>M10*M11</f>
        <v>2673.9453543780078</v>
      </c>
      <c r="N12" s="204">
        <f>N10*N11</f>
        <v>2543.1249153252766</v>
      </c>
    </row>
    <row r="13" spans="1:17" ht="18" customHeight="1" x14ac:dyDescent="0.35"/>
    <row r="14" spans="1:17" s="42" customFormat="1" ht="15.65" customHeight="1" x14ac:dyDescent="0.35"/>
    <row r="15" spans="1:17" s="42" customFormat="1" ht="15.65" customHeight="1" x14ac:dyDescent="0.35"/>
    <row r="16" spans="1:17" s="42" customFormat="1" ht="15.65" customHeight="1" x14ac:dyDescent="0.35">
      <c r="A16" s="39" t="s">
        <v>265</v>
      </c>
      <c r="B16" s="224">
        <f>SUM(J12:N12)</f>
        <v>13460.68805218707</v>
      </c>
      <c r="C16" s="225">
        <f>B16/B20</f>
        <v>0.33759556169712651</v>
      </c>
    </row>
    <row r="17" spans="1:16" s="42" customFormat="1" ht="15.65" customHeight="1" x14ac:dyDescent="0.35">
      <c r="A17" s="39" t="s">
        <v>266</v>
      </c>
      <c r="B17" s="180">
        <f>Sensitivity!L6</f>
        <v>0.02</v>
      </c>
      <c r="C17" s="275"/>
    </row>
    <row r="18" spans="1:16" s="42" customFormat="1" ht="15.65" customHeight="1" x14ac:dyDescent="0.35">
      <c r="A18" s="39" t="s">
        <v>267</v>
      </c>
      <c r="B18" s="226">
        <f>(N10*(1+Sensitivity!L6))/(Sensitivity!L5-Sensitivity!L6)</f>
        <v>46176.254085181063</v>
      </c>
      <c r="C18" s="256"/>
      <c r="I18" s="85"/>
      <c r="J18" s="85"/>
    </row>
    <row r="19" spans="1:16" s="42" customFormat="1" ht="16" customHeight="1" x14ac:dyDescent="0.4">
      <c r="A19" s="39" t="s">
        <v>268</v>
      </c>
      <c r="B19" s="226">
        <f>B18*N11</f>
        <v>26411.542449063742</v>
      </c>
      <c r="C19" s="225">
        <f>B19/B20</f>
        <v>0.66240443830287332</v>
      </c>
      <c r="I19" s="85"/>
      <c r="J19" s="86"/>
      <c r="K19" s="87"/>
      <c r="L19" s="87"/>
      <c r="M19" s="87"/>
      <c r="N19" s="87"/>
      <c r="O19" s="87"/>
      <c r="P19" s="87"/>
    </row>
    <row r="20" spans="1:16" s="42" customFormat="1" ht="16" customHeight="1" x14ac:dyDescent="0.4">
      <c r="A20" s="39" t="s">
        <v>269</v>
      </c>
      <c r="B20" s="226">
        <f>B19+B16</f>
        <v>39872.230501250815</v>
      </c>
      <c r="C20" s="37"/>
      <c r="I20" s="85"/>
      <c r="J20" s="88"/>
    </row>
    <row r="21" spans="1:16" s="42" customFormat="1" ht="16" customHeight="1" x14ac:dyDescent="0.4">
      <c r="A21" s="89"/>
      <c r="J21" s="87"/>
    </row>
    <row r="22" spans="1:16" s="42" customFormat="1" ht="16" customHeight="1" x14ac:dyDescent="0.4">
      <c r="A22" s="89"/>
      <c r="D22" s="85"/>
      <c r="J22" s="87"/>
    </row>
    <row r="23" spans="1:16" s="42" customFormat="1" ht="16" customHeight="1" x14ac:dyDescent="0.4">
      <c r="A23" s="39" t="s">
        <v>270</v>
      </c>
      <c r="B23" s="227">
        <f>'Historical BS'!I5</f>
        <v>672.83</v>
      </c>
      <c r="D23" s="85"/>
      <c r="J23" s="87"/>
    </row>
    <row r="24" spans="1:16" s="42" customFormat="1" ht="16" customHeight="1" x14ac:dyDescent="0.4">
      <c r="A24" s="39" t="s">
        <v>271</v>
      </c>
      <c r="B24" s="227">
        <f>'Historical BS'!I23</f>
        <v>400.85</v>
      </c>
      <c r="D24" s="85"/>
      <c r="J24" s="87"/>
    </row>
    <row r="25" spans="1:16" s="42" customFormat="1" ht="16" customHeight="1" x14ac:dyDescent="0.4">
      <c r="A25" s="39" t="s">
        <v>272</v>
      </c>
      <c r="B25" s="227">
        <f>'Historical BS'!I6</f>
        <v>6285.83</v>
      </c>
      <c r="D25" s="158"/>
      <c r="J25" s="87"/>
    </row>
    <row r="26" spans="1:16" s="42" customFormat="1" ht="16" customHeight="1" x14ac:dyDescent="0.4">
      <c r="A26" s="90" t="s">
        <v>273</v>
      </c>
      <c r="B26" s="227">
        <f>'Historical BS'!I15</f>
        <v>1046.0899999999999</v>
      </c>
      <c r="D26" s="85"/>
      <c r="J26" s="87"/>
    </row>
    <row r="27" spans="1:16" s="42" customFormat="1" ht="15.65" customHeight="1" x14ac:dyDescent="0.35">
      <c r="A27" s="90" t="s">
        <v>274</v>
      </c>
      <c r="B27" s="227">
        <f>'Historical BS'!I17</f>
        <v>1247.17</v>
      </c>
      <c r="D27" s="85"/>
    </row>
    <row r="28" spans="1:16" s="42" customFormat="1" ht="15.65" customHeight="1" x14ac:dyDescent="0.35">
      <c r="A28" s="90" t="s">
        <v>275</v>
      </c>
      <c r="B28" s="227">
        <f>'Historical BS'!I18</f>
        <v>1635.67</v>
      </c>
    </row>
    <row r="29" spans="1:16" s="42" customFormat="1" ht="15.65" customHeight="1" x14ac:dyDescent="0.35">
      <c r="A29" s="91" t="s">
        <v>276</v>
      </c>
      <c r="B29" s="227">
        <f>'Historical BS'!I22</f>
        <v>643.39</v>
      </c>
    </row>
    <row r="30" spans="1:16" s="42" customFormat="1" ht="15.65" customHeight="1" x14ac:dyDescent="0.35">
      <c r="A30" s="39" t="s">
        <v>277</v>
      </c>
      <c r="B30" s="224">
        <f>B20+B23+B24+B25-SUM(B26:B29)</f>
        <v>42659.420501250817</v>
      </c>
    </row>
    <row r="31" spans="1:16" s="42" customFormat="1" ht="15.65" customHeight="1" x14ac:dyDescent="0.35">
      <c r="A31" s="39" t="s">
        <v>278</v>
      </c>
      <c r="B31" s="228">
        <v>95.919779000000005</v>
      </c>
    </row>
    <row r="32" spans="1:16" s="42" customFormat="1" ht="15.65" customHeight="1" x14ac:dyDescent="0.35">
      <c r="A32" s="39" t="s">
        <v>279</v>
      </c>
      <c r="B32" s="229">
        <f>B30/B31</f>
        <v>444.74060455509198</v>
      </c>
    </row>
    <row r="34" spans="1:2" x14ac:dyDescent="0.35">
      <c r="A34" s="277" t="s">
        <v>280</v>
      </c>
      <c r="B34" s="264"/>
    </row>
    <row r="35" spans="1:2" x14ac:dyDescent="0.35">
      <c r="A35" s="37" t="s">
        <v>281</v>
      </c>
      <c r="B35" s="227">
        <f>WACC!$B$30</f>
        <v>2164.5</v>
      </c>
    </row>
    <row r="36" spans="1:2" x14ac:dyDescent="0.35">
      <c r="A36" s="37" t="s">
        <v>282</v>
      </c>
      <c r="B36" s="227">
        <f>B31</f>
        <v>95.919779000000005</v>
      </c>
    </row>
    <row r="37" spans="1:2" x14ac:dyDescent="0.35">
      <c r="A37" s="37" t="s">
        <v>283</v>
      </c>
      <c r="B37" s="227">
        <f>B35*B36</f>
        <v>207618.3616455</v>
      </c>
    </row>
    <row r="38" spans="1:2" x14ac:dyDescent="0.35">
      <c r="A38" s="37" t="s">
        <v>284</v>
      </c>
      <c r="B38" s="227">
        <f>B26</f>
        <v>1046.0899999999999</v>
      </c>
    </row>
    <row r="39" spans="1:2" x14ac:dyDescent="0.35">
      <c r="A39" s="37" t="s">
        <v>285</v>
      </c>
      <c r="B39" s="227">
        <f>B27</f>
        <v>1247.17</v>
      </c>
    </row>
    <row r="40" spans="1:2" x14ac:dyDescent="0.35">
      <c r="A40" s="37" t="s">
        <v>286</v>
      </c>
      <c r="B40" s="227">
        <f>B28</f>
        <v>1635.67</v>
      </c>
    </row>
    <row r="41" spans="1:2" x14ac:dyDescent="0.35">
      <c r="A41" s="37" t="s">
        <v>287</v>
      </c>
      <c r="B41" s="227">
        <f>B29</f>
        <v>643.39</v>
      </c>
    </row>
    <row r="42" spans="1:2" x14ac:dyDescent="0.35">
      <c r="A42" s="37" t="s">
        <v>288</v>
      </c>
      <c r="B42" s="227">
        <f>-(B23+B24+B25)</f>
        <v>-7359.51</v>
      </c>
    </row>
    <row r="43" spans="1:2" x14ac:dyDescent="0.35">
      <c r="A43" s="39" t="s">
        <v>289</v>
      </c>
      <c r="B43" s="224">
        <f>SUM(B37:B42)</f>
        <v>204831.17164550003</v>
      </c>
    </row>
    <row r="44" spans="1:2" x14ac:dyDescent="0.35">
      <c r="A44" s="37" t="s">
        <v>290</v>
      </c>
      <c r="B44" s="227">
        <f>-B16</f>
        <v>-13460.68805218707</v>
      </c>
    </row>
    <row r="45" spans="1:2" x14ac:dyDescent="0.35">
      <c r="A45" s="37" t="s">
        <v>291</v>
      </c>
      <c r="B45" s="227">
        <f>B43+B44</f>
        <v>191370.48359331297</v>
      </c>
    </row>
    <row r="46" spans="1:2" x14ac:dyDescent="0.35">
      <c r="A46" s="39" t="s">
        <v>292</v>
      </c>
      <c r="B46" s="224">
        <f>B45/N11</f>
        <v>334579.9319313154</v>
      </c>
    </row>
    <row r="47" spans="1:2" x14ac:dyDescent="0.35">
      <c r="A47" s="39" t="s">
        <v>293</v>
      </c>
      <c r="B47" s="224">
        <f>(B46*B4-N10)/(B46+N10)</f>
        <v>0.10354907991932145</v>
      </c>
    </row>
    <row r="48" spans="1:2" x14ac:dyDescent="0.35">
      <c r="A48" s="37" t="s">
        <v>294</v>
      </c>
      <c r="B48" s="227">
        <f>B17</f>
        <v>0.02</v>
      </c>
    </row>
    <row r="49" spans="1:2" x14ac:dyDescent="0.35">
      <c r="A49" s="37" t="s">
        <v>295</v>
      </c>
      <c r="B49" s="227">
        <f>B4</f>
        <v>0.118214158398149</v>
      </c>
    </row>
    <row r="50" spans="1:2" ht="120" customHeight="1" x14ac:dyDescent="0.35">
      <c r="A50" s="274" t="str">
        <f>"The traded price discounts a perpetual growth rate of "&amp;TEXT($B$47,"0.0%")&amp;", against the "&amp;TEXT($B$48,"0.0%")&amp;" used here, and only "&amp;TEXT($B$49-$B$47,"0.0%")&amp;" below the "&amp;TEXT($B$49,"0.0%")&amp;" discount rate that caps any terminal growth assumption. Terminal value is "&amp;TEXT($B$19/$B$20,"0%")&amp;" of enterprise value, so the gap between this valuation and the market sits almost entirely in the terminal assumption rather than in the five-year forecast."</f>
        <v>The traded price discounts a perpetual growth rate of 10.4%, against the 2.0% used here, and only 1.5% below the 11.8% discount rate that caps any terminal growth assumption. Terminal value is 66% of enterprise value, so the gap between this valuation and the market sits almost entirely in the terminal assumption rather than in the five-year forecast.</v>
      </c>
      <c r="B50" s="264"/>
    </row>
  </sheetData>
  <sheetProtection algorithmName="SHA-512" hashValue="SAbHH7AhajExYDm8Fi10NuveOJDStQ53WAAPSfwcpsWnpRjstjGXBb3LfvGzp+snZiMUumzrbfFHxfcJmPQTWQ==" saltValue="vTfCJBWiAbdPQ60G1eJBRg==" spinCount="100000" sheet="1" objects="1" scenarios="1"/>
  <mergeCells count="6">
    <mergeCell ref="A50:B50"/>
    <mergeCell ref="A1:XFD1"/>
    <mergeCell ref="C17:C18"/>
    <mergeCell ref="A2:XFD2"/>
    <mergeCell ref="O5:O7"/>
    <mergeCell ref="A34:B34"/>
  </mergeCells>
  <dataValidations count="1">
    <dataValidation type="whole" allowBlank="1" showInputMessage="1" showErrorMessage="1" errorTitle="Invalid Input" error="Please select a valid Terminal Growth Rate Case (1,2 or 3)." promptTitle="Terminal Growth Rate Selector" prompt="Select a Terminal Growth Rate Case by typing a number (1,2 or 3)." sqref="B5" xr:uid="{00000000-0002-0000-0900-000000000000}">
      <formula1>1</formula1>
      <formula2>3</formula2>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1"/>
  <sheetViews>
    <sheetView showGridLines="0" topLeftCell="B1" workbookViewId="0">
      <selection activeCell="M10" sqref="M10"/>
    </sheetView>
  </sheetViews>
  <sheetFormatPr defaultColWidth="9.1796875" defaultRowHeight="17.5" x14ac:dyDescent="0.35"/>
  <cols>
    <col min="1" max="1" width="9.1796875" style="3" customWidth="1"/>
    <col min="2" max="2" width="23.7265625" style="3" customWidth="1"/>
    <col min="3" max="9" width="14.26953125" style="3" bestFit="1" customWidth="1"/>
    <col min="10" max="10" width="9.1796875" style="3" customWidth="1"/>
    <col min="11" max="11" width="51.54296875" style="3" bestFit="1" customWidth="1"/>
    <col min="12" max="12" width="10.26953125" style="3" bestFit="1" customWidth="1"/>
    <col min="13" max="13" width="12" style="3" customWidth="1"/>
    <col min="14" max="14" width="18.81640625" style="3" customWidth="1"/>
    <col min="15" max="17" width="9.1796875" style="3" customWidth="1"/>
    <col min="18" max="16384" width="9.1796875" style="3"/>
  </cols>
  <sheetData>
    <row r="1" spans="1:12" s="250" customFormat="1" ht="24" customHeight="1" x14ac:dyDescent="0.35">
      <c r="A1" s="250" t="s">
        <v>296</v>
      </c>
    </row>
    <row r="2" spans="1:12" s="257" customFormat="1" ht="18" customHeight="1" x14ac:dyDescent="0.35">
      <c r="A2" s="257" t="s">
        <v>46</v>
      </c>
    </row>
    <row r="4" spans="1:12" ht="18" customHeight="1" x14ac:dyDescent="0.4">
      <c r="B4" s="111" t="s">
        <v>269</v>
      </c>
      <c r="C4" s="266" t="s">
        <v>297</v>
      </c>
      <c r="D4" s="263"/>
      <c r="E4" s="263"/>
      <c r="F4" s="263"/>
      <c r="G4" s="263"/>
      <c r="H4" s="263"/>
      <c r="I4" s="264"/>
    </row>
    <row r="5" spans="1:12" ht="18" customHeight="1" x14ac:dyDescent="0.4">
      <c r="B5" s="268" t="s">
        <v>298</v>
      </c>
      <c r="C5" s="230">
        <f>DCF!B20</f>
        <v>39872.230501250815</v>
      </c>
      <c r="D5" s="231">
        <v>0.01</v>
      </c>
      <c r="E5" s="231">
        <v>0.02</v>
      </c>
      <c r="F5" s="231">
        <v>0.03</v>
      </c>
      <c r="G5" s="231">
        <v>0.04</v>
      </c>
      <c r="H5" s="231">
        <v>0.05</v>
      </c>
      <c r="I5" s="231">
        <v>0.06</v>
      </c>
      <c r="K5" s="115" t="s">
        <v>299</v>
      </c>
      <c r="L5" s="232">
        <f>WACC!B23</f>
        <v>0.118214158398149</v>
      </c>
    </row>
    <row r="6" spans="1:12" ht="18" customHeight="1" x14ac:dyDescent="0.4">
      <c r="B6" s="255"/>
      <c r="C6" s="231">
        <f>WACC!$B$23-0.02</f>
        <v>9.8214158398148996E-2</v>
      </c>
      <c r="D6" s="226">
        <f t="dataTable" ref="D6:I11" dt2D="1" dtr="1" r1="L6" r2="L5" ca="1"/>
        <v>46077.537170144598</v>
      </c>
      <c r="E6" s="226">
        <v>50507.711349239777</v>
      </c>
      <c r="F6" s="226">
        <v>56236.787188379589</v>
      </c>
      <c r="G6" s="226">
        <v>63934.138786126605</v>
      </c>
      <c r="H6" s="226">
        <v>74824.474292949802</v>
      </c>
      <c r="I6" s="226">
        <v>91414.443633577757</v>
      </c>
      <c r="K6" s="115" t="s">
        <v>297</v>
      </c>
      <c r="L6" s="232">
        <f>CHOOSE(DCF!B5,DCF!Q5,DCF!Q6,DCF!Q7)</f>
        <v>0.02</v>
      </c>
    </row>
    <row r="7" spans="1:12" ht="18" customHeight="1" x14ac:dyDescent="0.35">
      <c r="B7" s="255"/>
      <c r="C7" s="233">
        <f>WACC!$B$23-0.01</f>
        <v>0.108214158398149</v>
      </c>
      <c r="D7" s="226">
        <v>41181.822262803398</v>
      </c>
      <c r="E7" s="226">
        <v>44584.222929893433</v>
      </c>
      <c r="F7" s="226">
        <v>48856.645275097064</v>
      </c>
      <c r="G7" s="226">
        <v>54381.717347434038</v>
      </c>
      <c r="H7" s="226">
        <v>61804.977841408574</v>
      </c>
      <c r="I7" s="226">
        <v>72307.524893772745</v>
      </c>
    </row>
    <row r="8" spans="1:12" ht="18" customHeight="1" x14ac:dyDescent="0.35">
      <c r="B8" s="255"/>
      <c r="C8" s="233">
        <f>WACC!$B$23</f>
        <v>0.118214158398149</v>
      </c>
      <c r="D8" s="226">
        <v>37196.548520907992</v>
      </c>
      <c r="E8" s="226">
        <v>39872.230501250815</v>
      </c>
      <c r="F8" s="226">
        <v>43154.545708941616</v>
      </c>
      <c r="G8" s="226">
        <v>47276.17576062325</v>
      </c>
      <c r="H8" s="226">
        <v>52606.244103846846</v>
      </c>
      <c r="I8" s="226">
        <v>59767.505575989104</v>
      </c>
    </row>
    <row r="9" spans="1:12" ht="18" customHeight="1" x14ac:dyDescent="0.35">
      <c r="B9" s="255"/>
      <c r="C9" s="231">
        <f>WACC!$B$23+0.01</f>
        <v>0.12821415839814901</v>
      </c>
      <c r="D9" s="226">
        <v>33890.448120933201</v>
      </c>
      <c r="E9" s="226">
        <v>36035.673191356953</v>
      </c>
      <c r="F9" s="226">
        <v>38617.74466059159</v>
      </c>
      <c r="G9" s="226">
        <v>41785.225890826434</v>
      </c>
      <c r="H9" s="226">
        <v>45762.657977813004</v>
      </c>
      <c r="I9" s="226">
        <v>50906.250340140446</v>
      </c>
    </row>
    <row r="10" spans="1:12" ht="18" customHeight="1" x14ac:dyDescent="0.35">
      <c r="B10" s="255"/>
      <c r="C10" s="231">
        <f>WACC!$B$23+0.02</f>
        <v>0.13821415839814899</v>
      </c>
      <c r="D10" s="226">
        <v>31104.41446542315</v>
      </c>
      <c r="E10" s="226">
        <v>32852.212360498015</v>
      </c>
      <c r="F10" s="226">
        <v>34923.035989163895</v>
      </c>
      <c r="G10" s="226">
        <v>37415.55515795161</v>
      </c>
      <c r="H10" s="226">
        <v>40473.180702869533</v>
      </c>
      <c r="I10" s="226">
        <v>44312.666107316487</v>
      </c>
    </row>
    <row r="11" spans="1:12" ht="18" customHeight="1" x14ac:dyDescent="0.35">
      <c r="B11" s="256"/>
      <c r="C11" s="231">
        <f>WACC!$B$23+0.03</f>
        <v>0.148214158398149</v>
      </c>
      <c r="D11" s="226">
        <v>28725.396695972322</v>
      </c>
      <c r="E11" s="226">
        <v>30168.882496837996</v>
      </c>
      <c r="F11" s="226">
        <v>31856.583681110456</v>
      </c>
      <c r="G11" s="226">
        <v>33856.203603051777</v>
      </c>
      <c r="H11" s="226">
        <v>36263.019382404018</v>
      </c>
      <c r="I11" s="226">
        <v>39215.510781873665</v>
      </c>
    </row>
    <row r="14" spans="1:12" ht="18" customHeight="1" x14ac:dyDescent="0.4">
      <c r="B14" s="111" t="s">
        <v>300</v>
      </c>
      <c r="C14" s="266" t="s">
        <v>297</v>
      </c>
      <c r="D14" s="263"/>
      <c r="E14" s="263"/>
      <c r="F14" s="263"/>
      <c r="G14" s="263"/>
      <c r="H14" s="263"/>
      <c r="I14" s="264"/>
    </row>
    <row r="15" spans="1:12" ht="18" customHeight="1" x14ac:dyDescent="0.35">
      <c r="B15" s="268" t="s">
        <v>298</v>
      </c>
      <c r="C15" s="234">
        <f>DCF!B32</f>
        <v>444.74060455509198</v>
      </c>
      <c r="D15" s="231">
        <v>0.01</v>
      </c>
      <c r="E15" s="231">
        <v>0.02</v>
      </c>
      <c r="F15" s="231">
        <v>0.03</v>
      </c>
      <c r="G15" s="231">
        <v>0.04</v>
      </c>
      <c r="H15" s="231">
        <v>0.05</v>
      </c>
      <c r="I15" s="231">
        <v>0.06</v>
      </c>
    </row>
    <row r="16" spans="1:12" ht="18" customHeight="1" x14ac:dyDescent="0.35">
      <c r="B16" s="255"/>
      <c r="C16" s="231">
        <f>WACC!$B$23-0.02</f>
        <v>9.8214158398148996E-2</v>
      </c>
      <c r="D16" s="226">
        <f t="dataTable" ref="D16:I21" dt2D="1" dtr="1" r1="L6" r2="L5" ca="1"/>
        <v>509.43327517617195</v>
      </c>
      <c r="E16" s="226">
        <v>555.6195177351251</v>
      </c>
      <c r="F16" s="226">
        <v>615.34730171114745</v>
      </c>
      <c r="G16" s="226">
        <v>695.59510542790758</v>
      </c>
      <c r="H16" s="226">
        <v>809.13097488422909</v>
      </c>
      <c r="I16" s="226">
        <v>982.0876842676812</v>
      </c>
    </row>
    <row r="17" spans="2:9" ht="18" customHeight="1" x14ac:dyDescent="0.35">
      <c r="B17" s="255"/>
      <c r="C17" s="233">
        <f>WACC!$B$23-0.01</f>
        <v>0.108214158398149</v>
      </c>
      <c r="D17" s="226">
        <v>458.39359432639435</v>
      </c>
      <c r="E17" s="226">
        <v>493.86490902875653</v>
      </c>
      <c r="F17" s="226">
        <v>538.4065290131357</v>
      </c>
      <c r="G17" s="226">
        <v>596.0074965084525</v>
      </c>
      <c r="H17" s="226">
        <v>673.39779672979193</v>
      </c>
      <c r="I17" s="226">
        <v>782.89082477736679</v>
      </c>
    </row>
    <row r="18" spans="2:9" ht="18" customHeight="1" x14ac:dyDescent="0.35">
      <c r="B18" s="255"/>
      <c r="C18" s="233">
        <f>WACC!$B$23</f>
        <v>0.118214158398149</v>
      </c>
      <c r="D18" s="226">
        <v>416.84560721212665</v>
      </c>
      <c r="E18" s="226">
        <v>444.74060455509198</v>
      </c>
      <c r="F18" s="226">
        <v>478.95998289301332</v>
      </c>
      <c r="G18" s="226">
        <v>521.92953614523287</v>
      </c>
      <c r="H18" s="226">
        <v>577.49751595911039</v>
      </c>
      <c r="I18" s="226">
        <v>652.15637721589314</v>
      </c>
    </row>
    <row r="19" spans="2:9" ht="18" customHeight="1" x14ac:dyDescent="0.35">
      <c r="B19" s="255"/>
      <c r="C19" s="231">
        <f>WACC!$B$23+0.01</f>
        <v>0.12821415839814901</v>
      </c>
      <c r="D19" s="226">
        <v>382.37825924237376</v>
      </c>
      <c r="E19" s="226">
        <v>404.74304253095653</v>
      </c>
      <c r="F19" s="226">
        <v>431.66211486571075</v>
      </c>
      <c r="G19" s="226">
        <v>464.68430552604207</v>
      </c>
      <c r="H19" s="226">
        <v>506.15054041995865</v>
      </c>
      <c r="I19" s="226">
        <v>559.77443755516208</v>
      </c>
    </row>
    <row r="20" spans="2:9" ht="18" customHeight="1" x14ac:dyDescent="0.35">
      <c r="B20" s="255"/>
      <c r="C20" s="231">
        <f>WACC!$B$23+0.02</f>
        <v>0.13821415839814899</v>
      </c>
      <c r="D20" s="226">
        <v>353.3328039196499</v>
      </c>
      <c r="E20" s="226">
        <v>371.55425848612532</v>
      </c>
      <c r="F20" s="226">
        <v>393.14337858476398</v>
      </c>
      <c r="G20" s="226">
        <v>419.12883429341105</v>
      </c>
      <c r="H20" s="226">
        <v>451.0057378558966</v>
      </c>
      <c r="I20" s="226">
        <v>491.03382637397954</v>
      </c>
    </row>
    <row r="21" spans="2:9" ht="18" customHeight="1" x14ac:dyDescent="0.35">
      <c r="B21" s="256"/>
      <c r="C21" s="231">
        <f>WACC!$B$23+0.03</f>
        <v>0.148214158398149</v>
      </c>
      <c r="D21" s="226">
        <v>328.53064325734442</v>
      </c>
      <c r="E21" s="226">
        <v>343.57952906499077</v>
      </c>
      <c r="F21" s="226">
        <v>361.17445267581843</v>
      </c>
      <c r="G21" s="226">
        <v>382.02124718252088</v>
      </c>
      <c r="H21" s="226">
        <v>407.11321261909933</v>
      </c>
      <c r="I21" s="226">
        <v>437.89405292388824</v>
      </c>
    </row>
  </sheetData>
  <sheetProtection algorithmName="SHA-512" hashValue="YDptx//A0dgIwOiBHA8rHpFwYtVbbWn+8PpIaClDoeTdYZgBcahmDWp+KW3cuXJt/33pruyhu6E6xLdfGV3Ovg==" saltValue="7rIHCHn/DfA58hSrdJosQA==" spinCount="100000" sheet="1" objects="1" scenarios="1"/>
  <mergeCells count="6">
    <mergeCell ref="B15:B21"/>
    <mergeCell ref="C14:I14"/>
    <mergeCell ref="B5:B11"/>
    <mergeCell ref="A1:XFD1"/>
    <mergeCell ref="C4:I4"/>
    <mergeCell ref="A2:XFD2"/>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55"/>
  <sheetViews>
    <sheetView showGridLines="0" topLeftCell="D1" workbookViewId="0">
      <selection activeCell="H16" sqref="H16"/>
    </sheetView>
  </sheetViews>
  <sheetFormatPr defaultColWidth="9.1796875" defaultRowHeight="14.5" x14ac:dyDescent="0.35"/>
  <cols>
    <col min="1" max="1" width="55" style="127" bestFit="1" customWidth="1"/>
    <col min="2" max="2" width="27.81640625" style="127" bestFit="1" customWidth="1"/>
    <col min="3" max="3" width="12.54296875" style="127" bestFit="1" customWidth="1"/>
    <col min="4" max="4" width="36.453125" style="127" bestFit="1" customWidth="1"/>
    <col min="5" max="5" width="55.81640625" style="127" bestFit="1" customWidth="1"/>
    <col min="6" max="6" width="10.1796875" style="127" bestFit="1" customWidth="1"/>
    <col min="7" max="7" width="27.7265625" style="127" bestFit="1" customWidth="1"/>
    <col min="8" max="8" width="29.7265625" style="127" bestFit="1" customWidth="1"/>
    <col min="9" max="9" width="18" style="127" bestFit="1" customWidth="1"/>
    <col min="10" max="10" width="40.7265625" style="127" bestFit="1" customWidth="1"/>
    <col min="11" max="11" width="9.1796875" style="127" customWidth="1"/>
    <col min="12" max="16384" width="9.1796875" style="127"/>
  </cols>
  <sheetData>
    <row r="1" spans="1:14" s="250" customFormat="1" ht="18" customHeight="1" x14ac:dyDescent="0.35">
      <c r="A1" s="250" t="s">
        <v>296</v>
      </c>
    </row>
    <row r="2" spans="1:14" ht="18" customHeight="1" x14ac:dyDescent="0.35">
      <c r="A2" s="69"/>
      <c r="B2" s="69"/>
      <c r="C2" s="69"/>
      <c r="D2" s="69"/>
      <c r="E2" s="69"/>
      <c r="F2" s="69"/>
      <c r="G2" s="69"/>
      <c r="H2" s="69"/>
      <c r="I2" s="69"/>
      <c r="J2" s="69"/>
      <c r="K2" s="69"/>
      <c r="L2" s="69"/>
      <c r="M2" s="69"/>
      <c r="N2" s="69"/>
    </row>
    <row r="3" spans="1:14" ht="18" customHeight="1" x14ac:dyDescent="0.4">
      <c r="A3" s="282" t="s">
        <v>301</v>
      </c>
      <c r="B3" s="279"/>
      <c r="C3" s="279"/>
      <c r="D3" s="279"/>
      <c r="E3" s="279"/>
      <c r="F3" s="279"/>
      <c r="G3" s="279"/>
      <c r="H3" s="279"/>
      <c r="I3" s="279"/>
      <c r="J3" s="279"/>
    </row>
    <row r="4" spans="1:14" ht="17.5" customHeight="1" x14ac:dyDescent="0.35">
      <c r="A4" s="140" t="s">
        <v>302</v>
      </c>
      <c r="B4" s="141" t="s">
        <v>303</v>
      </c>
      <c r="C4" s="140" t="s">
        <v>304</v>
      </c>
      <c r="D4" s="139"/>
      <c r="E4" s="139"/>
      <c r="F4" s="139"/>
      <c r="G4" s="139"/>
      <c r="H4" s="139"/>
      <c r="I4" s="139"/>
      <c r="J4" s="139"/>
    </row>
    <row r="5" spans="1:14" ht="17.5" customHeight="1" x14ac:dyDescent="0.35">
      <c r="A5" s="140" t="s">
        <v>305</v>
      </c>
      <c r="B5" s="142" t="s">
        <v>306</v>
      </c>
      <c r="C5" s="140" t="s">
        <v>307</v>
      </c>
      <c r="D5" s="139"/>
      <c r="E5" s="139"/>
      <c r="F5" s="139"/>
      <c r="G5" s="139"/>
      <c r="H5" s="139"/>
      <c r="I5" s="139"/>
      <c r="J5" s="139"/>
    </row>
    <row r="6" spans="1:14" ht="17.5" customHeight="1" x14ac:dyDescent="0.35">
      <c r="A6" s="140" t="s">
        <v>308</v>
      </c>
      <c r="B6" s="143" t="s">
        <v>309</v>
      </c>
      <c r="C6" s="140" t="s">
        <v>310</v>
      </c>
      <c r="D6" s="139"/>
      <c r="E6" s="139"/>
      <c r="F6" s="139"/>
      <c r="G6" s="139"/>
      <c r="H6" s="139"/>
      <c r="I6" s="139"/>
      <c r="J6" s="139"/>
    </row>
    <row r="7" spans="1:14" ht="17.5" customHeight="1" x14ac:dyDescent="0.35">
      <c r="A7" s="140" t="s">
        <v>311</v>
      </c>
      <c r="B7" s="144" t="s">
        <v>312</v>
      </c>
      <c r="C7" s="25" t="s">
        <v>313</v>
      </c>
    </row>
    <row r="8" spans="1:14" ht="17.5" customHeight="1" x14ac:dyDescent="0.35">
      <c r="A8" s="140" t="s">
        <v>314</v>
      </c>
      <c r="B8" s="145" t="s">
        <v>315</v>
      </c>
      <c r="C8" s="140" t="s">
        <v>316</v>
      </c>
    </row>
    <row r="9" spans="1:14" ht="15.65" customHeight="1" x14ac:dyDescent="0.35">
      <c r="A9" s="146"/>
      <c r="B9" s="146"/>
      <c r="C9" s="146"/>
      <c r="D9" s="146"/>
      <c r="E9" s="146"/>
      <c r="F9" s="146"/>
      <c r="G9" s="146"/>
      <c r="H9" s="146"/>
      <c r="I9" s="146"/>
      <c r="J9" s="146"/>
    </row>
    <row r="10" spans="1:14" s="85" customFormat="1" ht="18" customHeight="1" x14ac:dyDescent="0.35">
      <c r="A10" s="280" t="s">
        <v>317</v>
      </c>
      <c r="B10" s="281"/>
      <c r="C10" s="281"/>
      <c r="D10" s="281"/>
      <c r="E10" s="281"/>
      <c r="F10" s="146"/>
      <c r="G10" s="280" t="s">
        <v>318</v>
      </c>
      <c r="H10" s="281"/>
      <c r="I10" s="281"/>
      <c r="J10" s="281"/>
    </row>
    <row r="11" spans="1:14" s="85" customFormat="1" ht="15.65" customHeight="1" x14ac:dyDescent="0.35">
      <c r="A11" s="147" t="s">
        <v>319</v>
      </c>
      <c r="B11" s="147" t="s">
        <v>320</v>
      </c>
      <c r="C11" s="147" t="s">
        <v>321</v>
      </c>
      <c r="D11" s="147" t="s">
        <v>322</v>
      </c>
      <c r="E11" s="147" t="s">
        <v>323</v>
      </c>
      <c r="F11" s="146"/>
      <c r="G11" s="147" t="s">
        <v>324</v>
      </c>
      <c r="H11" s="147" t="s">
        <v>320</v>
      </c>
      <c r="I11" s="147" t="s">
        <v>325</v>
      </c>
      <c r="J11" s="147" t="s">
        <v>323</v>
      </c>
    </row>
    <row r="12" spans="1:14" s="85" customFormat="1" ht="15.65" customHeight="1" x14ac:dyDescent="0.35">
      <c r="A12" s="137" t="s">
        <v>269</v>
      </c>
      <c r="B12" s="159">
        <f>DCF!$B$20</f>
        <v>39872.230501250815</v>
      </c>
      <c r="C12" s="137" t="s">
        <v>326</v>
      </c>
      <c r="D12" s="137" t="s">
        <v>327</v>
      </c>
      <c r="E12" s="137" t="s">
        <v>328</v>
      </c>
      <c r="F12" s="146"/>
      <c r="G12" s="137" t="s">
        <v>329</v>
      </c>
      <c r="H12" s="162" t="str">
        <f>CHOOSE('Forecast P&amp;L'!$B$4,"Bullish","Base","Bearish")</f>
        <v>Base</v>
      </c>
      <c r="I12" s="137" t="s">
        <v>330</v>
      </c>
      <c r="J12" s="137" t="s">
        <v>331</v>
      </c>
    </row>
    <row r="13" spans="1:14" s="85" customFormat="1" ht="15.65" customHeight="1" x14ac:dyDescent="0.35">
      <c r="A13" s="137" t="s">
        <v>332</v>
      </c>
      <c r="B13" s="159">
        <f>DCF!$B$23</f>
        <v>672.83</v>
      </c>
      <c r="C13" s="137" t="s">
        <v>326</v>
      </c>
      <c r="D13" s="137" t="s">
        <v>333</v>
      </c>
      <c r="E13" s="137" t="s">
        <v>334</v>
      </c>
      <c r="F13" s="146"/>
      <c r="G13" s="137" t="s">
        <v>259</v>
      </c>
      <c r="H13" s="161">
        <f>DCF!$B$4</f>
        <v>0.118214158398149</v>
      </c>
      <c r="I13" s="137" t="s">
        <v>335</v>
      </c>
      <c r="J13" s="137" t="s">
        <v>336</v>
      </c>
    </row>
    <row r="14" spans="1:14" s="85" customFormat="1" ht="15.65" customHeight="1" x14ac:dyDescent="0.35">
      <c r="A14" s="137" t="s">
        <v>271</v>
      </c>
      <c r="B14" s="159">
        <f>DCF!$B$24</f>
        <v>400.85</v>
      </c>
      <c r="C14" s="137" t="s">
        <v>326</v>
      </c>
      <c r="D14" s="137" t="s">
        <v>337</v>
      </c>
      <c r="E14" s="137" t="s">
        <v>338</v>
      </c>
      <c r="F14" s="146"/>
      <c r="G14" s="137" t="s">
        <v>339</v>
      </c>
      <c r="H14" s="161">
        <f>DCF!$B$17</f>
        <v>0.02</v>
      </c>
      <c r="I14" s="137" t="s">
        <v>340</v>
      </c>
      <c r="J14" s="137" t="s">
        <v>341</v>
      </c>
    </row>
    <row r="15" spans="1:14" s="85" customFormat="1" ht="15.65" customHeight="1" x14ac:dyDescent="0.35">
      <c r="A15" s="137" t="s">
        <v>342</v>
      </c>
      <c r="B15" s="159">
        <f>DCF!$B$25</f>
        <v>6285.83</v>
      </c>
      <c r="C15" s="137" t="s">
        <v>326</v>
      </c>
      <c r="D15" s="137" t="s">
        <v>343</v>
      </c>
      <c r="E15" s="137" t="s">
        <v>344</v>
      </c>
      <c r="F15" s="146"/>
      <c r="G15" s="137" t="s">
        <v>345</v>
      </c>
      <c r="H15" s="161">
        <f>WACC!$B$10</f>
        <v>7.1059999999999998E-2</v>
      </c>
      <c r="I15" s="137" t="s">
        <v>346</v>
      </c>
      <c r="J15" s="137" t="s">
        <v>347</v>
      </c>
    </row>
    <row r="16" spans="1:14" s="85" customFormat="1" ht="15.65" customHeight="1" x14ac:dyDescent="0.35">
      <c r="A16" s="137" t="s">
        <v>273</v>
      </c>
      <c r="B16" s="159">
        <f>-DCF!$B$26</f>
        <v>-1046.0899999999999</v>
      </c>
      <c r="C16" s="137" t="s">
        <v>326</v>
      </c>
      <c r="D16" s="137" t="s">
        <v>348</v>
      </c>
      <c r="E16" s="137" t="s">
        <v>349</v>
      </c>
      <c r="F16" s="146"/>
      <c r="G16" s="137" t="s">
        <v>350</v>
      </c>
      <c r="H16" s="163">
        <f>WACC!$B$11</f>
        <v>0.7</v>
      </c>
      <c r="I16" s="137" t="s">
        <v>351</v>
      </c>
      <c r="J16" s="137" t="s">
        <v>352</v>
      </c>
    </row>
    <row r="17" spans="1:10" s="85" customFormat="1" ht="15.65" customHeight="1" x14ac:dyDescent="0.35">
      <c r="A17" s="137" t="s">
        <v>274</v>
      </c>
      <c r="B17" s="159">
        <f>-DCF!$B$27</f>
        <v>-1247.17</v>
      </c>
      <c r="C17" s="137" t="s">
        <v>326</v>
      </c>
      <c r="D17" s="137" t="s">
        <v>353</v>
      </c>
      <c r="E17" s="137" t="s">
        <v>349</v>
      </c>
      <c r="F17" s="146"/>
      <c r="G17" s="137" t="s">
        <v>354</v>
      </c>
      <c r="H17" s="161">
        <f>WACC!$B$12</f>
        <v>6.9000000000000006E-2</v>
      </c>
      <c r="I17" s="137" t="s">
        <v>355</v>
      </c>
      <c r="J17" s="137" t="s">
        <v>356</v>
      </c>
    </row>
    <row r="18" spans="1:10" s="85" customFormat="1" ht="15.65" customHeight="1" x14ac:dyDescent="0.35">
      <c r="A18" s="137" t="s">
        <v>275</v>
      </c>
      <c r="B18" s="159">
        <f>-DCF!$B$28</f>
        <v>-1635.67</v>
      </c>
      <c r="C18" s="137" t="s">
        <v>326</v>
      </c>
      <c r="D18" s="137" t="s">
        <v>357</v>
      </c>
      <c r="E18" s="137" t="s">
        <v>358</v>
      </c>
      <c r="F18" s="146"/>
      <c r="G18" s="137" t="s">
        <v>359</v>
      </c>
      <c r="H18" s="161">
        <f>WACC!$B$13</f>
        <v>0.11935999999999999</v>
      </c>
      <c r="I18" s="137" t="s">
        <v>360</v>
      </c>
      <c r="J18" s="137" t="s">
        <v>361</v>
      </c>
    </row>
    <row r="19" spans="1:10" s="85" customFormat="1" ht="15.65" customHeight="1" x14ac:dyDescent="0.35">
      <c r="A19" s="137" t="s">
        <v>276</v>
      </c>
      <c r="B19" s="159">
        <f>-DCF!$B$29</f>
        <v>-643.39</v>
      </c>
      <c r="C19" s="137" t="s">
        <v>326</v>
      </c>
      <c r="D19" s="137" t="s">
        <v>362</v>
      </c>
      <c r="E19" s="137" t="s">
        <v>363</v>
      </c>
      <c r="F19" s="146"/>
      <c r="G19" s="137" t="s">
        <v>364</v>
      </c>
      <c r="H19" s="161">
        <f>WACC!$B$16</f>
        <v>7.7060000000000003E-2</v>
      </c>
      <c r="I19" s="137" t="s">
        <v>365</v>
      </c>
      <c r="J19" s="137" t="s">
        <v>366</v>
      </c>
    </row>
    <row r="20" spans="1:10" s="85" customFormat="1" ht="15.65" customHeight="1" x14ac:dyDescent="0.35">
      <c r="A20" s="138" t="s">
        <v>277</v>
      </c>
      <c r="B20" s="160">
        <f>DCF!$B$30</f>
        <v>42659.420501250817</v>
      </c>
      <c r="C20" s="138" t="s">
        <v>326</v>
      </c>
      <c r="D20" s="138" t="s">
        <v>367</v>
      </c>
      <c r="E20" s="138" t="s">
        <v>368</v>
      </c>
      <c r="F20" s="146"/>
      <c r="G20" s="137" t="s">
        <v>369</v>
      </c>
      <c r="H20" s="161">
        <f>WACC!$B$17</f>
        <v>0.25169999999999998</v>
      </c>
      <c r="I20" s="137" t="s">
        <v>370</v>
      </c>
      <c r="J20" s="137" t="s">
        <v>371</v>
      </c>
    </row>
    <row r="21" spans="1:10" s="85" customFormat="1" ht="15.65" customHeight="1" x14ac:dyDescent="0.35">
      <c r="A21" s="137" t="s">
        <v>253</v>
      </c>
      <c r="B21" s="235">
        <f>DCF!$B$31</f>
        <v>95.919779000000005</v>
      </c>
      <c r="C21" s="137" t="s">
        <v>372</v>
      </c>
      <c r="D21" s="137" t="s">
        <v>373</v>
      </c>
      <c r="E21" s="137" t="s">
        <v>374</v>
      </c>
      <c r="F21" s="146"/>
      <c r="G21" s="137" t="s">
        <v>375</v>
      </c>
      <c r="H21" s="161">
        <f>('Forecast P&amp;L'!$N$11/'Forecast P&amp;L'!$H$11)^(1/5)-1</f>
        <v>6.4994131416593159E-2</v>
      </c>
      <c r="I21" s="137" t="s">
        <v>376</v>
      </c>
      <c r="J21" s="137" t="s">
        <v>377</v>
      </c>
    </row>
    <row r="22" spans="1:10" s="85" customFormat="1" ht="15.65" customHeight="1" x14ac:dyDescent="0.35">
      <c r="A22" s="138" t="s">
        <v>378</v>
      </c>
      <c r="B22" s="236">
        <f>DCF!$B$32</f>
        <v>444.74060455509198</v>
      </c>
      <c r="C22" s="138" t="s">
        <v>379</v>
      </c>
      <c r="D22" s="138" t="s">
        <v>380</v>
      </c>
      <c r="E22" s="138" t="s">
        <v>381</v>
      </c>
      <c r="F22" s="146"/>
      <c r="G22" s="137" t="s">
        <v>382</v>
      </c>
      <c r="H22" s="161">
        <f>'Forecast P&amp;L'!$N$83/'Forecast P&amp;L'!$N$78</f>
        <v>0.19358925125682649</v>
      </c>
      <c r="I22" s="137" t="s">
        <v>376</v>
      </c>
      <c r="J22" s="137" t="s">
        <v>383</v>
      </c>
    </row>
    <row r="23" spans="1:10" s="85" customFormat="1" ht="15.65" customHeight="1" x14ac:dyDescent="0.35">
      <c r="A23" s="138" t="s">
        <v>384</v>
      </c>
      <c r="B23" s="236">
        <f>WACC!$B$32/WACC!$B$29</f>
        <v>2164.4962297087859</v>
      </c>
      <c r="C23" s="138" t="s">
        <v>379</v>
      </c>
      <c r="D23" s="138" t="s">
        <v>385</v>
      </c>
      <c r="E23" s="138" t="s">
        <v>386</v>
      </c>
      <c r="F23" s="146"/>
      <c r="G23" s="137" t="s">
        <v>387</v>
      </c>
      <c r="H23" s="161">
        <f>'Forecast P&amp;L'!$N$85/'Forecast P&amp;L'!$N$78</f>
        <v>0.15772061289380526</v>
      </c>
      <c r="I23" s="137" t="s">
        <v>376</v>
      </c>
      <c r="J23" s="137" t="s">
        <v>388</v>
      </c>
    </row>
    <row r="24" spans="1:10" s="85" customFormat="1" ht="15.65" customHeight="1" x14ac:dyDescent="0.35">
      <c r="A24" s="138" t="s">
        <v>389</v>
      </c>
      <c r="B24" s="161">
        <f>B22/B23-1</f>
        <v>-0.79452927732060408</v>
      </c>
      <c r="C24" s="138" t="s">
        <v>390</v>
      </c>
      <c r="D24" s="138" t="s">
        <v>391</v>
      </c>
      <c r="E24" s="138" t="s">
        <v>392</v>
      </c>
      <c r="F24" s="146"/>
      <c r="G24" s="137" t="s">
        <v>393</v>
      </c>
      <c r="H24" s="161">
        <f>'Forecast FCF'!$N$11/'Forecast P&amp;L'!$N$78</f>
        <v>9.1202638438645484E-2</v>
      </c>
      <c r="I24" s="137" t="s">
        <v>394</v>
      </c>
      <c r="J24" s="137" t="s">
        <v>395</v>
      </c>
    </row>
    <row r="25" spans="1:10" s="85" customFormat="1" ht="15.65" customHeight="1" x14ac:dyDescent="0.35">
      <c r="A25" s="146"/>
      <c r="B25" s="146"/>
      <c r="C25" s="146"/>
      <c r="D25" s="146"/>
      <c r="E25" s="146"/>
      <c r="F25" s="146"/>
      <c r="G25" s="146"/>
      <c r="H25" s="146"/>
      <c r="I25" s="146"/>
      <c r="J25" s="146"/>
    </row>
    <row r="26" spans="1:10" ht="15.65" customHeight="1" x14ac:dyDescent="0.35">
      <c r="A26" s="146"/>
      <c r="B26" s="146"/>
      <c r="C26" s="146"/>
      <c r="D26" s="146"/>
      <c r="E26" s="146"/>
      <c r="F26" s="146"/>
      <c r="G26" s="146"/>
      <c r="H26" s="146"/>
      <c r="I26" s="146"/>
      <c r="J26" s="146"/>
    </row>
    <row r="27" spans="1:10" ht="18" customHeight="1" x14ac:dyDescent="0.35">
      <c r="A27" s="283" t="s">
        <v>396</v>
      </c>
      <c r="B27" s="279"/>
      <c r="C27" s="279"/>
      <c r="D27" s="279"/>
      <c r="E27" s="279"/>
      <c r="F27" s="279"/>
      <c r="G27" s="146"/>
      <c r="H27" s="280" t="s">
        <v>397</v>
      </c>
      <c r="I27" s="279"/>
      <c r="J27" s="279"/>
    </row>
    <row r="28" spans="1:10" ht="15.65" customHeight="1" x14ac:dyDescent="0.35">
      <c r="A28" s="166" t="s">
        <v>319</v>
      </c>
      <c r="B28" s="166" t="str">
        <f>'Forecast P&amp;L'!J9</f>
        <v>2026-27</v>
      </c>
      <c r="C28" s="166" t="str">
        <f>'Forecast P&amp;L'!K9</f>
        <v>2027-28</v>
      </c>
      <c r="D28" s="166" t="str">
        <f>'Forecast P&amp;L'!L9</f>
        <v>2028-29</v>
      </c>
      <c r="E28" s="166" t="str">
        <f>'Forecast P&amp;L'!M9</f>
        <v>2029-30</v>
      </c>
      <c r="F28" s="166" t="str">
        <f>'Forecast P&amp;L'!N9</f>
        <v>2030-31</v>
      </c>
      <c r="G28" s="146"/>
      <c r="H28" s="147" t="s">
        <v>319</v>
      </c>
      <c r="I28" s="147" t="s">
        <v>320</v>
      </c>
      <c r="J28" s="147" t="s">
        <v>398</v>
      </c>
    </row>
    <row r="29" spans="1:10" ht="15.65" customHeight="1" x14ac:dyDescent="0.35">
      <c r="A29" s="137" t="s">
        <v>399</v>
      </c>
      <c r="B29" s="159">
        <f>'Forecast P&amp;L'!J11</f>
        <v>38074.387800000004</v>
      </c>
      <c r="C29" s="159">
        <f>'Forecast P&amp;L'!K11</f>
        <v>40644.408976500003</v>
      </c>
      <c r="D29" s="159">
        <f>'Forecast P&amp;L'!L11</f>
        <v>43286.295559972503</v>
      </c>
      <c r="E29" s="159">
        <f>'Forecast P&amp;L'!M11</f>
        <v>45991.689032470786</v>
      </c>
      <c r="F29" s="159">
        <f>'Forecast P&amp;L'!N11</f>
        <v>48751.190374419035</v>
      </c>
      <c r="G29" s="146"/>
      <c r="H29" s="137" t="s">
        <v>400</v>
      </c>
      <c r="I29" s="159">
        <f>DCF!$B$16</f>
        <v>13460.68805218707</v>
      </c>
      <c r="J29" s="237">
        <f>I29/I32</f>
        <v>0.33759556169712651</v>
      </c>
    </row>
    <row r="30" spans="1:10" ht="15.65" customHeight="1" x14ac:dyDescent="0.35">
      <c r="A30" s="137" t="s">
        <v>401</v>
      </c>
      <c r="B30" s="165">
        <f>'Forecast P&amp;L'!J12</f>
        <v>7.0000000000000007E-2</v>
      </c>
      <c r="C30" s="165">
        <f>'Forecast P&amp;L'!K12</f>
        <v>6.7500000000000004E-2</v>
      </c>
      <c r="D30" s="165">
        <f>'Forecast P&amp;L'!L12</f>
        <v>6.5000000000000002E-2</v>
      </c>
      <c r="E30" s="165">
        <f>'Forecast P&amp;L'!M12</f>
        <v>6.25E-2</v>
      </c>
      <c r="F30" s="165">
        <f>'Forecast P&amp;L'!N12</f>
        <v>0.06</v>
      </c>
      <c r="G30" s="146"/>
      <c r="H30" s="137" t="s">
        <v>402</v>
      </c>
      <c r="I30" s="159">
        <f>DCF!$B$18</f>
        <v>46176.254085181063</v>
      </c>
      <c r="J30" s="164"/>
    </row>
    <row r="31" spans="1:10" ht="15.65" customHeight="1" x14ac:dyDescent="0.35">
      <c r="A31" s="138" t="s">
        <v>57</v>
      </c>
      <c r="B31" s="160">
        <f>'Forecast P&amp;L'!J83</f>
        <v>7370.7922262640486</v>
      </c>
      <c r="C31" s="160">
        <f>'Forecast P&amp;L'!K83</f>
        <v>7868.3207015368716</v>
      </c>
      <c r="D31" s="160">
        <f>'Forecast P&amp;L'!L83</f>
        <v>8379.7615471367681</v>
      </c>
      <c r="E31" s="160">
        <f>'Forecast P&amp;L'!M83</f>
        <v>8903.4966438328156</v>
      </c>
      <c r="F31" s="160">
        <f>'Forecast P&amp;L'!N83</f>
        <v>9437.7064424627879</v>
      </c>
      <c r="G31" s="146"/>
      <c r="H31" s="137" t="s">
        <v>403</v>
      </c>
      <c r="I31" s="159">
        <f>DCF!$B$19</f>
        <v>26411.542449063742</v>
      </c>
      <c r="J31" s="237">
        <f>I31/I32</f>
        <v>0.66240443830287332</v>
      </c>
    </row>
    <row r="32" spans="1:10" ht="15.65" customHeight="1" x14ac:dyDescent="0.35">
      <c r="A32" s="137" t="s">
        <v>404</v>
      </c>
      <c r="B32" s="165">
        <f>B31/B29</f>
        <v>0.19358925125682647</v>
      </c>
      <c r="C32" s="165">
        <f>C31/C29</f>
        <v>0.19358925125682647</v>
      </c>
      <c r="D32" s="165">
        <f>D31/D29</f>
        <v>0.19358925125682644</v>
      </c>
      <c r="E32" s="165">
        <f>E31/E29</f>
        <v>0.19358925125682644</v>
      </c>
      <c r="F32" s="165">
        <f>F31/F29</f>
        <v>0.19358925125682649</v>
      </c>
      <c r="G32" s="146"/>
      <c r="H32" s="167" t="s">
        <v>269</v>
      </c>
      <c r="I32" s="168">
        <f>DCF!$B$20</f>
        <v>39872.230501250815</v>
      </c>
      <c r="J32" s="169">
        <f>I32/I32</f>
        <v>1</v>
      </c>
    </row>
    <row r="33" spans="1:10" ht="15.65" customHeight="1" x14ac:dyDescent="0.35">
      <c r="A33" s="138" t="s">
        <v>59</v>
      </c>
      <c r="B33" s="160">
        <f>'Forecast P&amp;L'!J85</f>
        <v>6019.8050987669449</v>
      </c>
      <c r="C33" s="160">
        <f>'Forecast P&amp;L'!K85</f>
        <v>6426.3550098261503</v>
      </c>
      <c r="D33" s="160">
        <f>'Forecast P&amp;L'!L85</f>
        <v>6840.9922649895971</v>
      </c>
      <c r="E33" s="160">
        <f>'Forecast P&amp;L'!M85</f>
        <v>7262.3965704937063</v>
      </c>
      <c r="F33" s="160">
        <f>'Forecast P&amp;L'!N85</f>
        <v>7689.0676251559498</v>
      </c>
      <c r="G33" s="146"/>
      <c r="H33" s="146"/>
      <c r="I33" s="146"/>
      <c r="J33" s="146"/>
    </row>
    <row r="34" spans="1:10" ht="15.65" customHeight="1" x14ac:dyDescent="0.35">
      <c r="A34" s="137" t="s">
        <v>405</v>
      </c>
      <c r="B34" s="165">
        <f>B33/B29</f>
        <v>0.1581064186872348</v>
      </c>
      <c r="C34" s="165">
        <f>C33/C29</f>
        <v>0.15811166090622142</v>
      </c>
      <c r="D34" s="165">
        <f>D33/D29</f>
        <v>0.15804060330160399</v>
      </c>
      <c r="E34" s="165">
        <f>E33/E29</f>
        <v>0.15790671582786078</v>
      </c>
      <c r="F34" s="165">
        <f>F33/F29</f>
        <v>0.15772061289380526</v>
      </c>
      <c r="G34" s="146"/>
      <c r="H34" s="146"/>
      <c r="I34" s="146"/>
      <c r="J34" s="146"/>
    </row>
    <row r="35" spans="1:10" ht="15.65" customHeight="1" x14ac:dyDescent="0.35">
      <c r="A35" s="138" t="s">
        <v>196</v>
      </c>
      <c r="B35" s="160">
        <f>'Forecast P&amp;L'!J88</f>
        <v>4471.1914192461882</v>
      </c>
      <c r="C35" s="160">
        <f>'Forecast P&amp;L'!K88</f>
        <v>4773.1550948136173</v>
      </c>
      <c r="D35" s="160">
        <f>'Forecast P&amp;L'!L88</f>
        <v>5081.1256199334985</v>
      </c>
      <c r="E35" s="160">
        <f>'Forecast P&amp;L'!M88</f>
        <v>5394.1223505401613</v>
      </c>
      <c r="F35" s="160">
        <f>'Forecast P&amp;L'!N88</f>
        <v>5711.030942620213</v>
      </c>
      <c r="G35" s="146"/>
      <c r="H35" s="146"/>
      <c r="I35" s="146"/>
      <c r="J35" s="146"/>
    </row>
    <row r="36" spans="1:10" ht="15.65" customHeight="1" x14ac:dyDescent="0.35">
      <c r="A36" s="138" t="s">
        <v>406</v>
      </c>
      <c r="B36" s="160">
        <f>'Forecast FCF'!J11</f>
        <v>2797.3008386896745</v>
      </c>
      <c r="C36" s="160">
        <f>'Forecast FCF'!K11</f>
        <v>3672.1045401870811</v>
      </c>
      <c r="D36" s="160">
        <f>'Forecast FCF'!L11</f>
        <v>3922.4242927490131</v>
      </c>
      <c r="E36" s="160">
        <f>'Forecast FCF'!M11</f>
        <v>4180.7334087605996</v>
      </c>
      <c r="F36" s="160">
        <f>'Forecast FCF'!N11</f>
        <v>4446.237189171713</v>
      </c>
      <c r="G36" s="146"/>
      <c r="H36" s="146"/>
      <c r="I36" s="146"/>
      <c r="J36" s="146"/>
    </row>
    <row r="37" spans="1:10" ht="15.65" customHeight="1" x14ac:dyDescent="0.35">
      <c r="A37" s="137" t="s">
        <v>407</v>
      </c>
      <c r="B37" s="165">
        <f>B36/B29</f>
        <v>7.3469358283146824E-2</v>
      </c>
      <c r="C37" s="165">
        <f>C36/C29</f>
        <v>9.0347101425690246E-2</v>
      </c>
      <c r="D37" s="165">
        <f>D36/D29</f>
        <v>9.0615846008687759E-2</v>
      </c>
      <c r="E37" s="165">
        <f>E36/E29</f>
        <v>9.0901932429768836E-2</v>
      </c>
      <c r="F37" s="165">
        <f>F36/F29</f>
        <v>9.1202638438645484E-2</v>
      </c>
      <c r="G37" s="146"/>
      <c r="H37" s="146"/>
      <c r="I37" s="146"/>
      <c r="J37" s="146"/>
    </row>
    <row r="38" spans="1:10" ht="15.65" customHeight="1" x14ac:dyDescent="0.35">
      <c r="A38" s="146"/>
      <c r="B38" s="146"/>
      <c r="C38" s="146"/>
      <c r="D38" s="146"/>
      <c r="E38" s="146"/>
      <c r="F38" s="146"/>
      <c r="G38" s="146"/>
      <c r="H38" s="146"/>
      <c r="I38" s="146"/>
      <c r="J38" s="146"/>
    </row>
    <row r="39" spans="1:10" ht="15.65" customHeight="1" x14ac:dyDescent="0.35">
      <c r="A39" s="146"/>
      <c r="B39" s="146"/>
      <c r="C39" s="146"/>
      <c r="D39" s="146"/>
      <c r="E39" s="146"/>
      <c r="F39" s="146"/>
      <c r="G39" s="146"/>
      <c r="H39" s="146"/>
      <c r="I39" s="146"/>
      <c r="J39" s="146"/>
    </row>
    <row r="40" spans="1:10" ht="18" customHeight="1" x14ac:dyDescent="0.35">
      <c r="A40" s="284" t="s">
        <v>408</v>
      </c>
      <c r="B40" s="279"/>
      <c r="C40" s="279"/>
      <c r="D40" s="279"/>
      <c r="E40" s="279"/>
      <c r="F40" s="279"/>
      <c r="G40" s="279"/>
      <c r="H40" s="279"/>
      <c r="I40" s="146"/>
      <c r="J40" s="146"/>
    </row>
    <row r="41" spans="1:10" ht="15.65" customHeight="1" x14ac:dyDescent="0.35">
      <c r="A41" s="147" t="str">
        <f>Sensitivity!B14</f>
        <v>Per Share Price</v>
      </c>
      <c r="B41" s="280" t="str">
        <f>Sensitivity!C14</f>
        <v>Terminal Growth Rate (%)</v>
      </c>
      <c r="C41" s="279"/>
      <c r="D41" s="279"/>
      <c r="E41" s="279"/>
      <c r="F41" s="279"/>
      <c r="G41" s="279"/>
      <c r="H41" s="279"/>
      <c r="I41" s="146"/>
      <c r="J41" s="146"/>
    </row>
    <row r="42" spans="1:10" ht="15.65" customHeight="1" x14ac:dyDescent="0.35">
      <c r="A42" s="280" t="str">
        <f>Sensitivity!B15</f>
        <v>WACC (%)</v>
      </c>
      <c r="B42" s="238">
        <f>Sensitivity!C15</f>
        <v>444.74060455509198</v>
      </c>
      <c r="C42" s="239">
        <f>Sensitivity!D15</f>
        <v>0.01</v>
      </c>
      <c r="D42" s="239">
        <f>Sensitivity!E15</f>
        <v>0.02</v>
      </c>
      <c r="E42" s="239">
        <f>Sensitivity!F15</f>
        <v>0.03</v>
      </c>
      <c r="F42" s="239">
        <f>Sensitivity!G15</f>
        <v>0.04</v>
      </c>
      <c r="G42" s="239">
        <f>Sensitivity!H15</f>
        <v>0.05</v>
      </c>
      <c r="H42" s="239">
        <f>Sensitivity!I15</f>
        <v>0.06</v>
      </c>
      <c r="I42" s="146"/>
      <c r="J42" s="146"/>
    </row>
    <row r="43" spans="1:10" ht="15.65" customHeight="1" x14ac:dyDescent="0.35">
      <c r="A43" s="279"/>
      <c r="B43" s="239">
        <f>Sensitivity!C16</f>
        <v>9.8214158398148996E-2</v>
      </c>
      <c r="C43" s="240">
        <f>Sensitivity!D16</f>
        <v>509.43327517617195</v>
      </c>
      <c r="D43" s="240">
        <f>Sensitivity!E16</f>
        <v>555.6195177351251</v>
      </c>
      <c r="E43" s="240">
        <f>Sensitivity!F16</f>
        <v>615.34730171114745</v>
      </c>
      <c r="F43" s="240">
        <f>Sensitivity!G16</f>
        <v>695.59510542790758</v>
      </c>
      <c r="G43" s="240">
        <f>Sensitivity!H16</f>
        <v>809.13097488422909</v>
      </c>
      <c r="H43" s="240">
        <f>Sensitivity!I16</f>
        <v>982.0876842676812</v>
      </c>
      <c r="I43" s="146"/>
      <c r="J43" s="146"/>
    </row>
    <row r="44" spans="1:10" ht="15.65" customHeight="1" x14ac:dyDescent="0.35">
      <c r="A44" s="279"/>
      <c r="B44" s="239">
        <f>Sensitivity!C17</f>
        <v>0.108214158398149</v>
      </c>
      <c r="C44" s="240">
        <f>Sensitivity!D17</f>
        <v>458.39359432639435</v>
      </c>
      <c r="D44" s="240">
        <f>Sensitivity!E17</f>
        <v>493.86490902875653</v>
      </c>
      <c r="E44" s="240">
        <f>Sensitivity!F17</f>
        <v>538.4065290131357</v>
      </c>
      <c r="F44" s="240">
        <f>Sensitivity!G17</f>
        <v>596.0074965084525</v>
      </c>
      <c r="G44" s="240">
        <f>Sensitivity!H17</f>
        <v>673.39779672979193</v>
      </c>
      <c r="H44" s="240">
        <f>Sensitivity!I17</f>
        <v>782.89082477736679</v>
      </c>
      <c r="I44" s="146"/>
      <c r="J44" s="146"/>
    </row>
    <row r="45" spans="1:10" ht="15.65" customHeight="1" x14ac:dyDescent="0.35">
      <c r="A45" s="279"/>
      <c r="B45" s="239">
        <f>Sensitivity!C18</f>
        <v>0.118214158398149</v>
      </c>
      <c r="C45" s="240">
        <f>Sensitivity!D18</f>
        <v>416.84560721212665</v>
      </c>
      <c r="D45" s="240">
        <f>Sensitivity!E18</f>
        <v>444.74060455509198</v>
      </c>
      <c r="E45" s="240">
        <f>Sensitivity!F18</f>
        <v>478.95998289301332</v>
      </c>
      <c r="F45" s="240">
        <f>Sensitivity!G18</f>
        <v>521.92953614523287</v>
      </c>
      <c r="G45" s="240">
        <f>Sensitivity!H18</f>
        <v>577.49751595911039</v>
      </c>
      <c r="H45" s="240">
        <f>Sensitivity!I18</f>
        <v>652.15637721589314</v>
      </c>
      <c r="I45" s="146"/>
      <c r="J45" s="146"/>
    </row>
    <row r="46" spans="1:10" ht="15.65" customHeight="1" x14ac:dyDescent="0.35">
      <c r="A46" s="279"/>
      <c r="B46" s="239">
        <f>Sensitivity!C19</f>
        <v>0.12821415839814901</v>
      </c>
      <c r="C46" s="240">
        <f>Sensitivity!D19</f>
        <v>382.37825924237376</v>
      </c>
      <c r="D46" s="240">
        <f>Sensitivity!E19</f>
        <v>404.74304253095653</v>
      </c>
      <c r="E46" s="240">
        <f>Sensitivity!F19</f>
        <v>431.66211486571075</v>
      </c>
      <c r="F46" s="240">
        <f>Sensitivity!G19</f>
        <v>464.68430552604207</v>
      </c>
      <c r="G46" s="240">
        <f>Sensitivity!H19</f>
        <v>506.15054041995865</v>
      </c>
      <c r="H46" s="240">
        <f>Sensitivity!I19</f>
        <v>559.77443755516208</v>
      </c>
      <c r="I46" s="146"/>
      <c r="J46" s="146"/>
    </row>
    <row r="47" spans="1:10" ht="15.65" customHeight="1" x14ac:dyDescent="0.35">
      <c r="A47" s="279"/>
      <c r="B47" s="239">
        <f>Sensitivity!C20</f>
        <v>0.13821415839814899</v>
      </c>
      <c r="C47" s="240">
        <f>Sensitivity!D20</f>
        <v>353.3328039196499</v>
      </c>
      <c r="D47" s="240">
        <f>Sensitivity!E20</f>
        <v>371.55425848612532</v>
      </c>
      <c r="E47" s="240">
        <f>Sensitivity!F20</f>
        <v>393.14337858476398</v>
      </c>
      <c r="F47" s="240">
        <f>Sensitivity!G20</f>
        <v>419.12883429341105</v>
      </c>
      <c r="G47" s="240">
        <f>Sensitivity!H20</f>
        <v>451.0057378558966</v>
      </c>
      <c r="H47" s="240">
        <f>Sensitivity!I20</f>
        <v>491.03382637397954</v>
      </c>
      <c r="I47" s="146"/>
      <c r="J47" s="146"/>
    </row>
    <row r="48" spans="1:10" ht="15.65" customHeight="1" x14ac:dyDescent="0.35">
      <c r="A48" s="279"/>
      <c r="B48" s="239">
        <f>Sensitivity!C21</f>
        <v>0.148214158398149</v>
      </c>
      <c r="C48" s="240">
        <f>Sensitivity!D21</f>
        <v>328.53064325734442</v>
      </c>
      <c r="D48" s="240">
        <f>Sensitivity!E21</f>
        <v>343.57952906499077</v>
      </c>
      <c r="E48" s="240">
        <f>Sensitivity!F21</f>
        <v>361.17445267581843</v>
      </c>
      <c r="F48" s="240">
        <f>Sensitivity!G21</f>
        <v>382.02124718252088</v>
      </c>
      <c r="G48" s="240">
        <f>Sensitivity!H21</f>
        <v>407.11321261909933</v>
      </c>
      <c r="H48" s="240">
        <f>Sensitivity!I21</f>
        <v>437.89405292388824</v>
      </c>
      <c r="I48" s="146"/>
      <c r="J48" s="146"/>
    </row>
    <row r="49" spans="1:10" ht="15.65" customHeight="1" x14ac:dyDescent="0.35">
      <c r="A49" s="146"/>
      <c r="B49" s="146"/>
      <c r="C49" s="146"/>
      <c r="D49" s="146"/>
      <c r="E49" s="146"/>
      <c r="F49" s="146"/>
      <c r="G49" s="146"/>
      <c r="H49" s="146"/>
      <c r="I49" s="146"/>
      <c r="J49" s="146"/>
    </row>
    <row r="50" spans="1:10" ht="15.65" customHeight="1" x14ac:dyDescent="0.35">
      <c r="A50" s="146"/>
      <c r="B50" s="146"/>
      <c r="C50" s="146"/>
      <c r="D50" s="146"/>
      <c r="E50" s="146"/>
      <c r="F50" s="146"/>
      <c r="G50" s="146"/>
      <c r="H50" s="146"/>
      <c r="I50" s="146"/>
      <c r="J50" s="146"/>
    </row>
    <row r="51" spans="1:10" ht="18" customHeight="1" x14ac:dyDescent="0.35">
      <c r="A51" s="284" t="s">
        <v>409</v>
      </c>
      <c r="B51" s="279"/>
      <c r="C51" s="279"/>
      <c r="D51" s="279"/>
      <c r="E51" s="279"/>
      <c r="F51" s="279"/>
      <c r="G51" s="279"/>
      <c r="H51" s="279"/>
      <c r="I51" s="279"/>
      <c r="J51" s="279"/>
    </row>
    <row r="52" spans="1:10" x14ac:dyDescent="0.35">
      <c r="A52" s="278" t="str">
        <f>"The DCF gives an intrinsic value of "&amp;TEXT($B$22,"₹#,##0.0")&amp;" per share against the annual-report-implied market price of "&amp;TEXT($B$23,"₹#,##0.0")&amp;", implying "&amp;TEXT($B$24,"0.0%")&amp;". The output is driven mainly by a WACC of "&amp;TEXT($H$13,"0.0%")&amp;", terminal growth of "&amp;TEXT($H$14,"0.0%")&amp;" and FY31 free cash flow of "&amp;TEXT($F$36,"#,##0.0")&amp;" crore. Terminal value is "&amp;TEXT($J$31,"0.0%")&amp;" of enterprise value, so the result is most sensitive to the terminal assumptions; see the sensitivity grid below."</f>
        <v>The DCF gives an intrinsic value of ₹444.7 per share against the annual-report-implied market price of ₹2,164.5, implying -79.5%. The output is driven mainly by a WACC of 11.8%, terminal growth of 2.0% and FY31 free cash flow of 4,446.2 crore. Terminal value is 66.2% of enterprise value, so the result is most sensitive to the terminal assumptions; see the sensitivity grid below.</v>
      </c>
      <c r="B52" s="279"/>
      <c r="C52" s="279"/>
      <c r="D52" s="279"/>
      <c r="E52" s="279"/>
      <c r="F52" s="279"/>
      <c r="G52" s="279"/>
      <c r="H52" s="279"/>
      <c r="I52" s="279"/>
      <c r="J52" s="279"/>
    </row>
    <row r="53" spans="1:10" x14ac:dyDescent="0.35">
      <c r="A53" s="279"/>
      <c r="B53" s="279"/>
      <c r="C53" s="279"/>
      <c r="D53" s="279"/>
      <c r="E53" s="279"/>
      <c r="F53" s="279"/>
      <c r="G53" s="279"/>
      <c r="H53" s="279"/>
      <c r="I53" s="279"/>
      <c r="J53" s="279"/>
    </row>
    <row r="54" spans="1:10" x14ac:dyDescent="0.35">
      <c r="A54" s="279"/>
      <c r="B54" s="279"/>
      <c r="C54" s="279"/>
      <c r="D54" s="279"/>
      <c r="E54" s="279"/>
      <c r="F54" s="279"/>
      <c r="G54" s="279"/>
      <c r="H54" s="279"/>
      <c r="I54" s="279"/>
      <c r="J54" s="279"/>
    </row>
    <row r="55" spans="1:10" x14ac:dyDescent="0.35">
      <c r="A55" s="279"/>
      <c r="B55" s="279"/>
      <c r="C55" s="279"/>
      <c r="D55" s="279"/>
      <c r="E55" s="279"/>
      <c r="F55" s="279"/>
      <c r="G55" s="279"/>
      <c r="H55" s="279"/>
      <c r="I55" s="279"/>
      <c r="J55" s="279"/>
    </row>
  </sheetData>
  <sheetProtection algorithmName="SHA-512" hashValue="dc1aNGduT3UIUbKHD7I6rUOJDEZJbSdkQUQrTuVcUlYx8wISlDgEqJHXYOL6RMi2gJzUhLdvZATJk19SIvBQ6A==" saltValue="Vl4uqq7hlyPXcAptNtfxFA==" spinCount="100000" sheet="1" objects="1" scenarios="1"/>
  <mergeCells count="11">
    <mergeCell ref="A1:XFD1"/>
    <mergeCell ref="A52:J55"/>
    <mergeCell ref="B41:H41"/>
    <mergeCell ref="A42:A48"/>
    <mergeCell ref="A10:E10"/>
    <mergeCell ref="A3:J3"/>
    <mergeCell ref="A27:F27"/>
    <mergeCell ref="H27:J27"/>
    <mergeCell ref="A51:J51"/>
    <mergeCell ref="G10:J10"/>
    <mergeCell ref="A40:H40"/>
  </mergeCells>
  <conditionalFormatting sqref="C43:H48">
    <cfRule type="colorScale" priority="1">
      <colorScale>
        <cfvo type="min"/>
        <cfvo type="percentile" val="50"/>
        <cfvo type="max"/>
        <color rgb="FFF4CCCC"/>
        <color rgb="FFFFF2CC"/>
        <color rgb="FFD9EAD3"/>
      </colorScale>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0"/>
  <sheetViews>
    <sheetView showGridLines="0" topLeftCell="A8" workbookViewId="0">
      <selection activeCell="J9" sqref="J9"/>
    </sheetView>
  </sheetViews>
  <sheetFormatPr defaultRowHeight="14.5" x14ac:dyDescent="0.35"/>
  <cols>
    <col min="1" max="1" width="13.453125" bestFit="1" customWidth="1"/>
    <col min="2" max="2" width="26.453125" bestFit="1" customWidth="1"/>
    <col min="3" max="3" width="38.54296875" bestFit="1" customWidth="1"/>
    <col min="4" max="4" width="42.26953125" bestFit="1" customWidth="1"/>
    <col min="5" max="5" width="23.7265625" bestFit="1" customWidth="1"/>
    <col min="6" max="6" width="32.453125" bestFit="1" customWidth="1"/>
    <col min="7" max="10" width="13" customWidth="1"/>
  </cols>
  <sheetData>
    <row r="1" spans="1:6" ht="24" customHeight="1" x14ac:dyDescent="0.35">
      <c r="A1" s="285" t="s">
        <v>410</v>
      </c>
      <c r="B1" s="286"/>
      <c r="C1" s="286"/>
      <c r="D1" s="286"/>
      <c r="E1" s="286"/>
      <c r="F1" s="286"/>
    </row>
    <row r="3" spans="1:6" ht="30" customHeight="1" x14ac:dyDescent="0.35">
      <c r="A3" s="170" t="s">
        <v>411</v>
      </c>
      <c r="B3" s="170" t="s">
        <v>319</v>
      </c>
      <c r="C3" s="170" t="s">
        <v>412</v>
      </c>
      <c r="D3" s="170" t="s">
        <v>413</v>
      </c>
      <c r="E3" s="170" t="s">
        <v>414</v>
      </c>
      <c r="F3" s="170" t="s">
        <v>415</v>
      </c>
    </row>
    <row r="4" spans="1:6" ht="60" customHeight="1" x14ac:dyDescent="0.35">
      <c r="A4" s="171" t="s">
        <v>416</v>
      </c>
      <c r="B4" s="171" t="s">
        <v>417</v>
      </c>
      <c r="C4" s="171" t="s">
        <v>418</v>
      </c>
      <c r="D4" s="171" t="s">
        <v>419</v>
      </c>
      <c r="E4" s="171" t="s">
        <v>420</v>
      </c>
      <c r="F4" s="171" t="s">
        <v>421</v>
      </c>
    </row>
    <row r="5" spans="1:6" ht="30" customHeight="1" x14ac:dyDescent="0.35">
      <c r="A5" s="171" t="s">
        <v>422</v>
      </c>
      <c r="B5" s="171" t="s">
        <v>423</v>
      </c>
      <c r="C5" s="171" t="s">
        <v>424</v>
      </c>
      <c r="D5" s="171" t="s">
        <v>425</v>
      </c>
      <c r="E5" s="171" t="s">
        <v>426</v>
      </c>
      <c r="F5" s="171" t="s">
        <v>427</v>
      </c>
    </row>
    <row r="6" spans="1:6" ht="45" customHeight="1" x14ac:dyDescent="0.35">
      <c r="A6" s="171" t="s">
        <v>428</v>
      </c>
      <c r="B6" s="171" t="s">
        <v>78</v>
      </c>
      <c r="C6" s="171" t="s">
        <v>429</v>
      </c>
      <c r="D6" s="171" t="s">
        <v>430</v>
      </c>
      <c r="E6" s="171" t="s">
        <v>431</v>
      </c>
      <c r="F6" s="171" t="s">
        <v>432</v>
      </c>
    </row>
    <row r="7" spans="1:6" ht="60" customHeight="1" x14ac:dyDescent="0.35">
      <c r="A7" s="171" t="s">
        <v>428</v>
      </c>
      <c r="B7" s="171" t="s">
        <v>83</v>
      </c>
      <c r="C7" s="171" t="s">
        <v>433</v>
      </c>
      <c r="D7" s="171" t="s">
        <v>434</v>
      </c>
      <c r="E7" s="171" t="s">
        <v>435</v>
      </c>
      <c r="F7" s="171" t="s">
        <v>436</v>
      </c>
    </row>
    <row r="8" spans="1:6" ht="45" customHeight="1" x14ac:dyDescent="0.35">
      <c r="A8" s="171" t="s">
        <v>428</v>
      </c>
      <c r="B8" s="171" t="s">
        <v>75</v>
      </c>
      <c r="C8" s="171" t="s">
        <v>437</v>
      </c>
      <c r="D8" s="171" t="s">
        <v>438</v>
      </c>
      <c r="E8" s="171" t="s">
        <v>439</v>
      </c>
      <c r="F8" s="171" t="s">
        <v>440</v>
      </c>
    </row>
    <row r="9" spans="1:6" ht="75" customHeight="1" x14ac:dyDescent="0.35">
      <c r="A9" s="171" t="s">
        <v>428</v>
      </c>
      <c r="B9" s="171" t="s">
        <v>441</v>
      </c>
      <c r="C9" s="171" t="s">
        <v>442</v>
      </c>
      <c r="D9" s="171" t="s">
        <v>443</v>
      </c>
      <c r="E9" s="171" t="s">
        <v>444</v>
      </c>
      <c r="F9" s="171" t="s">
        <v>445</v>
      </c>
    </row>
    <row r="10" spans="1:6" ht="30" customHeight="1" x14ac:dyDescent="0.35">
      <c r="A10" s="171" t="s">
        <v>428</v>
      </c>
      <c r="B10" s="171" t="s">
        <v>93</v>
      </c>
      <c r="C10" s="171" t="s">
        <v>446</v>
      </c>
      <c r="D10" s="171" t="s">
        <v>447</v>
      </c>
      <c r="E10" s="171" t="s">
        <v>448</v>
      </c>
      <c r="F10" s="171" t="s">
        <v>449</v>
      </c>
    </row>
    <row r="11" spans="1:6" ht="75" customHeight="1" x14ac:dyDescent="0.35">
      <c r="A11" s="171" t="s">
        <v>428</v>
      </c>
      <c r="B11" s="171" t="s">
        <v>96</v>
      </c>
      <c r="C11" s="171" t="s">
        <v>450</v>
      </c>
      <c r="D11" s="171" t="s">
        <v>451</v>
      </c>
      <c r="E11" s="171" t="s">
        <v>452</v>
      </c>
      <c r="F11" s="171" t="s">
        <v>453</v>
      </c>
    </row>
    <row r="12" spans="1:6" ht="45" customHeight="1" x14ac:dyDescent="0.35">
      <c r="A12" s="171" t="s">
        <v>428</v>
      </c>
      <c r="B12" s="171" t="s">
        <v>101</v>
      </c>
      <c r="C12" s="171" t="s">
        <v>454</v>
      </c>
      <c r="D12" s="171" t="s">
        <v>455</v>
      </c>
      <c r="E12" s="171" t="s">
        <v>456</v>
      </c>
      <c r="F12" s="171" t="s">
        <v>457</v>
      </c>
    </row>
    <row r="13" spans="1:6" ht="45" customHeight="1" x14ac:dyDescent="0.35">
      <c r="A13" s="171" t="s">
        <v>428</v>
      </c>
      <c r="B13" s="171" t="s">
        <v>105</v>
      </c>
      <c r="C13" s="171" t="s">
        <v>458</v>
      </c>
      <c r="D13" s="171" t="s">
        <v>459</v>
      </c>
      <c r="E13" s="171" t="s">
        <v>460</v>
      </c>
      <c r="F13" s="171" t="s">
        <v>461</v>
      </c>
    </row>
    <row r="14" spans="1:6" ht="45" customHeight="1" x14ac:dyDescent="0.35">
      <c r="A14" s="171" t="s">
        <v>428</v>
      </c>
      <c r="B14" s="171" t="s">
        <v>107</v>
      </c>
      <c r="C14" s="171" t="s">
        <v>462</v>
      </c>
      <c r="D14" s="171" t="s">
        <v>463</v>
      </c>
      <c r="E14" s="171" t="s">
        <v>464</v>
      </c>
      <c r="F14" s="171" t="s">
        <v>465</v>
      </c>
    </row>
    <row r="15" spans="1:6" ht="60" customHeight="1" x14ac:dyDescent="0.35">
      <c r="A15" s="171" t="s">
        <v>466</v>
      </c>
      <c r="B15" s="171" t="s">
        <v>174</v>
      </c>
      <c r="C15" s="171" t="s">
        <v>467</v>
      </c>
      <c r="D15" s="171" t="s">
        <v>468</v>
      </c>
      <c r="E15" s="171" t="s">
        <v>469</v>
      </c>
      <c r="F15" s="171" t="s">
        <v>470</v>
      </c>
    </row>
    <row r="16" spans="1:6" ht="45" customHeight="1" x14ac:dyDescent="0.35">
      <c r="A16" s="171" t="s">
        <v>466</v>
      </c>
      <c r="B16" s="171" t="s">
        <v>471</v>
      </c>
      <c r="C16" s="171" t="s">
        <v>472</v>
      </c>
      <c r="D16" s="171" t="s">
        <v>473</v>
      </c>
      <c r="E16" s="171" t="s">
        <v>474</v>
      </c>
      <c r="F16" s="171" t="s">
        <v>475</v>
      </c>
    </row>
    <row r="17" spans="1:6" ht="45" customHeight="1" x14ac:dyDescent="0.35">
      <c r="A17" s="171" t="s">
        <v>466</v>
      </c>
      <c r="B17" s="171" t="s">
        <v>476</v>
      </c>
      <c r="C17" s="171" t="s">
        <v>477</v>
      </c>
      <c r="D17" s="171" t="s">
        <v>478</v>
      </c>
      <c r="E17" s="171" t="s">
        <v>479</v>
      </c>
      <c r="F17" s="171" t="s">
        <v>480</v>
      </c>
    </row>
    <row r="18" spans="1:6" ht="45" customHeight="1" x14ac:dyDescent="0.35">
      <c r="A18" s="171" t="s">
        <v>466</v>
      </c>
      <c r="B18" s="171" t="s">
        <v>481</v>
      </c>
      <c r="C18" s="171" t="s">
        <v>482</v>
      </c>
      <c r="D18" s="171" t="s">
        <v>483</v>
      </c>
      <c r="E18" s="171" t="s">
        <v>484</v>
      </c>
      <c r="F18" s="171" t="s">
        <v>485</v>
      </c>
    </row>
    <row r="19" spans="1:6" x14ac:dyDescent="0.35">
      <c r="A19" s="2"/>
      <c r="B19" s="2"/>
      <c r="C19" s="2"/>
      <c r="D19" s="2"/>
      <c r="E19" s="2"/>
      <c r="F19" s="2"/>
    </row>
    <row r="20" spans="1:6" x14ac:dyDescent="0.35">
      <c r="A20" s="2"/>
      <c r="B20" s="2"/>
      <c r="C20" s="2"/>
      <c r="D20" s="2"/>
      <c r="E20" s="2"/>
      <c r="F20" s="2"/>
    </row>
    <row r="21" spans="1:6" x14ac:dyDescent="0.35">
      <c r="A21" s="2"/>
      <c r="B21" s="2"/>
      <c r="C21" s="2"/>
      <c r="D21" s="2"/>
      <c r="E21" s="2"/>
      <c r="F21" s="2"/>
    </row>
    <row r="22" spans="1:6" x14ac:dyDescent="0.35">
      <c r="A22" s="2"/>
      <c r="B22" s="2"/>
      <c r="C22" s="2"/>
      <c r="D22" s="2"/>
      <c r="E22" s="2"/>
      <c r="F22" s="2"/>
    </row>
    <row r="23" spans="1:6" x14ac:dyDescent="0.35">
      <c r="A23" s="2"/>
      <c r="B23" s="2"/>
      <c r="C23" s="2"/>
      <c r="D23" s="2"/>
      <c r="E23" s="2"/>
      <c r="F23" s="2"/>
    </row>
    <row r="24" spans="1:6" x14ac:dyDescent="0.35">
      <c r="A24" s="2"/>
      <c r="B24" s="2"/>
      <c r="C24" s="2"/>
      <c r="D24" s="2"/>
      <c r="E24" s="2"/>
      <c r="F24" s="2"/>
    </row>
    <row r="25" spans="1:6" x14ac:dyDescent="0.35">
      <c r="A25" s="2"/>
      <c r="B25" s="2"/>
      <c r="C25" s="2"/>
      <c r="D25" s="2"/>
      <c r="E25" s="2"/>
      <c r="F25" s="2"/>
    </row>
    <row r="26" spans="1:6" x14ac:dyDescent="0.35">
      <c r="A26" s="2"/>
      <c r="B26" s="2"/>
      <c r="C26" s="2"/>
      <c r="D26" s="2"/>
      <c r="E26" s="2"/>
      <c r="F26" s="2"/>
    </row>
    <row r="27" spans="1:6" x14ac:dyDescent="0.35">
      <c r="A27" s="2"/>
      <c r="B27" s="2"/>
      <c r="C27" s="2"/>
      <c r="D27" s="2"/>
      <c r="E27" s="2"/>
      <c r="F27" s="2"/>
    </row>
    <row r="28" spans="1:6" x14ac:dyDescent="0.35">
      <c r="A28" s="2"/>
      <c r="B28" s="2"/>
      <c r="C28" s="2"/>
      <c r="D28" s="2"/>
      <c r="E28" s="2"/>
      <c r="F28" s="2"/>
    </row>
    <row r="29" spans="1:6" x14ac:dyDescent="0.35">
      <c r="A29" s="2"/>
      <c r="B29" s="2"/>
      <c r="C29" s="2"/>
      <c r="D29" s="2"/>
      <c r="E29" s="2"/>
      <c r="F29" s="2"/>
    </row>
    <row r="30" spans="1:6" x14ac:dyDescent="0.35">
      <c r="A30" s="2"/>
      <c r="B30" s="2"/>
      <c r="C30" s="2"/>
      <c r="D30" s="2"/>
      <c r="E30" s="2"/>
      <c r="F30" s="2"/>
    </row>
  </sheetData>
  <sheetProtection algorithmName="SHA-512" hashValue="sEDixhVW6xgltIH74epRquD3ljGvQ7DLF1JZXoOqTwH3G+H0rgnc9wkb9CXL9wYeDePygS1ids8JYip2f5QRDA==" saltValue="213vBe5pdwCo1RUhvwYwOw==" spinCount="100000" sheet="1" objects="1" scenarios="1"/>
  <mergeCells count="1">
    <mergeCell ref="A1:F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Source Tie-Out</vt:lpstr>
      <vt:lpstr>Historical P&amp;L</vt:lpstr>
      <vt:lpstr>Historical BS</vt:lpstr>
      <vt:lpstr>Historical Cash Flow</vt:lpstr>
      <vt:lpstr>Forecast P&amp;L</vt:lpstr>
      <vt:lpstr>Forecast BS</vt:lpstr>
      <vt:lpstr>Forecast FCF</vt:lpstr>
      <vt:lpstr>WACC</vt:lpstr>
      <vt:lpstr>DCF</vt:lpstr>
      <vt:lpstr>Sensitivity</vt:lpstr>
      <vt:lpstr>Summary</vt:lpstr>
      <vt:lpstr>Decision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Asian Paints - DCF Valuation</dc:title>
  <dc:creator>Neev Hiranandani</dc:creator>
  <cp:lastModifiedBy>Neev Umesh Hiranandani</cp:lastModifiedBy>
  <dcterms:created xsi:type="dcterms:W3CDTF">2026-07-23T20:55:50Z</dcterms:created>
  <dcterms:modified xsi:type="dcterms:W3CDTF">2026-08-23T07:48:37Z</dcterms:modified>
</cp:coreProperties>
</file>